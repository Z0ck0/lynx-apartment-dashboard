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7256" windowHeight="5472" tabRatio="600" firstSheet="0" activeTab="0" autoFilterDateGrouping="1"/>
  </bookViews>
  <sheets>
    <sheet name="Bookings" sheetId="1" state="visible" r:id="rId1"/>
    <sheet name="Monthly_Costs" sheetId="2" state="visible" r:id="rId2"/>
    <sheet name="Toiletries" sheetId="3" state="visible" r:id="rId3"/>
    <sheet name="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2" borderId="1" pivotButton="0" quotePrefix="0" xfId="0"/>
    <xf numFmtId="0" fontId="1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2" fontId="3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2" fontId="1" fillId="0" borderId="1" applyAlignment="1" pivotButton="0" quotePrefix="0" xfId="0">
      <alignment horizontal="left"/>
    </xf>
    <xf numFmtId="0" fontId="1" fillId="0" borderId="0" pivotButton="0" quotePrefix="0" xfId="0"/>
    <xf numFmtId="0" fontId="1" fillId="0" borderId="1" pivotButton="0" quotePrefix="0" xfId="0"/>
    <xf numFmtId="2" fontId="1" fillId="0" borderId="0" applyAlignment="1" pivotButton="0" quotePrefix="0" xfId="0">
      <alignment horizontal="left"/>
    </xf>
    <xf numFmtId="0" fontId="2" fillId="3" borderId="0" pivotButton="0" quotePrefix="0" xfId="0"/>
    <xf numFmtId="0" fontId="1" fillId="3" borderId="0" applyAlignment="1" pivotButton="0" quotePrefix="0" xfId="0">
      <alignment horizontal="left"/>
    </xf>
    <xf numFmtId="2" fontId="1" fillId="0" borderId="0" pivotButton="0" quotePrefix="0" xfId="0"/>
    <xf numFmtId="0" fontId="4" fillId="0" borderId="2" applyAlignment="1" pivotButton="0" quotePrefix="0" xfId="0">
      <alignment horizontal="center" vertical="top"/>
    </xf>
    <xf numFmtId="0" fontId="0" fillId="0" borderId="0" pivotButton="0" quotePrefix="0" xfId="0"/>
    <xf numFmtId="164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46677"/>
          <bgColor rgb="FF246677"/>
        </patternFill>
      </fill>
    </dxf>
    <dxf>
      <border>
        <left style="thin">
          <color rgb="FF246677"/>
        </left>
        <right style="thin">
          <color rgb="FF246677"/>
        </right>
        <top style="thin">
          <color rgb="FF246677"/>
        </top>
        <bottom style="thin">
          <color rgb="FF246677"/>
        </bottom>
      </border>
    </dxf>
  </dxfs>
  <tableStyles count="1" defaultTableStyle="TableStyleMedium9" defaultPivotStyle="PivotStyleLight16">
    <tableStyle name="Monthly_Costs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Check-in date</t>
        </is>
      </c>
      <c r="B1" s="17" t="inlineStr">
        <is>
          <t>Check-out date</t>
        </is>
      </c>
      <c r="C1" s="17" t="inlineStr">
        <is>
          <t>Guest Name</t>
        </is>
      </c>
      <c r="D1" s="17" t="inlineStr">
        <is>
          <t>Country</t>
        </is>
      </c>
      <c r="E1" s="17" t="inlineStr">
        <is>
          <t>Adults</t>
        </is>
      </c>
      <c r="F1" s="17" t="inlineStr">
        <is>
          <t>Children</t>
        </is>
      </c>
      <c r="G1" s="17" t="inlineStr">
        <is>
          <t>Total guests</t>
        </is>
      </c>
      <c r="H1" s="17" t="inlineStr">
        <is>
          <t>Sofa Bed</t>
        </is>
      </c>
      <c r="I1" s="17" t="inlineStr">
        <is>
          <t>Baby Crib</t>
        </is>
      </c>
      <c r="J1" s="17" t="inlineStr">
        <is>
          <t>Parking</t>
        </is>
      </c>
      <c r="K1" s="17" t="inlineStr">
        <is>
          <t>Platform</t>
        </is>
      </c>
      <c r="L1" s="17" t="inlineStr">
        <is>
          <t>Nights</t>
        </is>
      </c>
      <c r="M1" s="17" t="inlineStr">
        <is>
          <t>Revenue for stay (€)</t>
        </is>
      </c>
      <c r="N1" s="17" t="inlineStr">
        <is>
          <t>Transportation Cost (€)</t>
        </is>
      </c>
      <c r="O1" s="17" t="inlineStr">
        <is>
          <t>Laundry Cost (€)</t>
        </is>
      </c>
      <c r="P1" s="17" t="inlineStr">
        <is>
          <t>Consumable Cost (€)</t>
        </is>
      </c>
      <c r="Q1" s="17" t="inlineStr">
        <is>
          <t>Bank Fees (€)</t>
        </is>
      </c>
      <c r="R1" s="17" t="inlineStr">
        <is>
          <t>Per-stay expenses (€)</t>
        </is>
      </c>
      <c r="S1" s="17" t="inlineStr">
        <is>
          <t>Net Income Before Fixed Costs (€)</t>
        </is>
      </c>
      <c r="T1" s="17" t="inlineStr">
        <is>
          <t>Check-in Month</t>
        </is>
      </c>
      <c r="U1" s="17" t="inlineStr">
        <is>
          <t>Check-in Year</t>
        </is>
      </c>
      <c r="V1" s="17" t="inlineStr">
        <is>
          <t>Notes</t>
        </is>
      </c>
    </row>
    <row r="2">
      <c r="A2" s="19" t="n">
        <v>45787</v>
      </c>
      <c r="B2" s="19" t="n">
        <v>45791</v>
      </c>
      <c r="C2" t="inlineStr">
        <is>
          <t>Magnus Lange</t>
        </is>
      </c>
      <c r="D2" t="inlineStr">
        <is>
          <t>Denmark</t>
        </is>
      </c>
      <c r="E2" t="n">
        <v>2</v>
      </c>
      <c r="F2" t="n">
        <v>0</v>
      </c>
      <c r="G2" t="n">
        <v>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Airbnb</t>
        </is>
      </c>
      <c r="L2" t="n">
        <v>4</v>
      </c>
      <c r="M2" t="n">
        <v>170.72</v>
      </c>
      <c r="N2" t="n">
        <v>5</v>
      </c>
      <c r="O2" t="n">
        <v>5</v>
      </c>
      <c r="P2" t="n">
        <v>4</v>
      </c>
      <c r="Q2" t="n">
        <v>6</v>
      </c>
      <c r="R2" t="n">
        <v>20</v>
      </c>
      <c r="S2" t="n">
        <v>150.72</v>
      </c>
      <c r="T2" t="n">
        <v>5</v>
      </c>
      <c r="U2" t="n">
        <v>2025</v>
      </c>
      <c r="V2" t="inlineStr"/>
    </row>
    <row r="3">
      <c r="A3" s="19" t="n">
        <v>45803</v>
      </c>
      <c r="B3" s="19" t="n">
        <v>45817</v>
      </c>
      <c r="C3" t="inlineStr">
        <is>
          <t>Karmen Cilakova</t>
        </is>
      </c>
      <c r="D3" t="inlineStr">
        <is>
          <t>USA</t>
        </is>
      </c>
      <c r="E3" t="n">
        <v>1</v>
      </c>
      <c r="F3" t="n">
        <v>0</v>
      </c>
      <c r="G3" t="n">
        <v>1</v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Airbnb</t>
        </is>
      </c>
      <c r="L3" t="n">
        <v>14</v>
      </c>
      <c r="M3" t="n">
        <v>574.24</v>
      </c>
      <c r="N3" t="n">
        <v>5</v>
      </c>
      <c r="O3" t="n">
        <v>5</v>
      </c>
      <c r="P3" t="n">
        <v>4</v>
      </c>
      <c r="Q3" t="n">
        <v>6</v>
      </c>
      <c r="R3" t="n">
        <v>20</v>
      </c>
      <c r="S3" t="n">
        <v>554.24</v>
      </c>
      <c r="T3" t="n">
        <v>5</v>
      </c>
      <c r="U3" t="n">
        <v>2025</v>
      </c>
      <c r="V3" t="inlineStr"/>
    </row>
    <row r="4">
      <c r="A4" s="19" t="n">
        <v>45820</v>
      </c>
      <c r="B4" s="19" t="n">
        <v>45830</v>
      </c>
      <c r="C4" t="inlineStr">
        <is>
          <t>Alexander Becker</t>
        </is>
      </c>
      <c r="D4" t="inlineStr">
        <is>
          <t>Germany</t>
        </is>
      </c>
      <c r="E4" t="n">
        <v>2</v>
      </c>
      <c r="F4" t="n">
        <v>0</v>
      </c>
      <c r="G4" t="n">
        <v>2</v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Airbnb</t>
        </is>
      </c>
      <c r="L4" t="n">
        <v>10</v>
      </c>
      <c r="M4" t="n">
        <v>499.55</v>
      </c>
      <c r="N4" t="n">
        <v>5</v>
      </c>
      <c r="O4" t="n">
        <v>5</v>
      </c>
      <c r="P4" t="n">
        <v>4</v>
      </c>
      <c r="Q4" t="n">
        <v>0</v>
      </c>
      <c r="R4" t="n">
        <v>14</v>
      </c>
      <c r="S4" t="n">
        <v>485.55</v>
      </c>
      <c r="T4" t="n">
        <v>6</v>
      </c>
      <c r="U4" t="n">
        <v>2025</v>
      </c>
      <c r="V4" t="inlineStr"/>
    </row>
    <row r="5">
      <c r="A5" s="19" t="n">
        <v>45847</v>
      </c>
      <c r="B5" s="19" t="n">
        <v>45853</v>
      </c>
      <c r="C5" t="inlineStr">
        <is>
          <t>Family Plavsa Plavsa</t>
        </is>
      </c>
      <c r="D5" t="inlineStr">
        <is>
          <t>Monte Negro</t>
        </is>
      </c>
      <c r="E5" t="n">
        <v>1</v>
      </c>
      <c r="F5" t="n">
        <v>0</v>
      </c>
      <c r="G5" t="n">
        <v>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Airbnb</t>
        </is>
      </c>
      <c r="L5" t="n">
        <v>6</v>
      </c>
      <c r="M5" t="n">
        <v>200.79</v>
      </c>
      <c r="N5" t="n">
        <v>5</v>
      </c>
      <c r="O5" t="n">
        <v>5</v>
      </c>
      <c r="P5" t="n">
        <v>4</v>
      </c>
      <c r="Q5" t="n">
        <v>0</v>
      </c>
      <c r="R5" t="n">
        <v>14</v>
      </c>
      <c r="S5" t="n">
        <v>186.79</v>
      </c>
      <c r="T5" t="n">
        <v>7</v>
      </c>
      <c r="U5" t="n">
        <v>2025</v>
      </c>
      <c r="V5" t="inlineStr"/>
    </row>
    <row r="6">
      <c r="A6" s="19" t="n">
        <v>45854</v>
      </c>
      <c r="B6" s="19" t="n">
        <v>45857</v>
      </c>
      <c r="C6" t="inlineStr">
        <is>
          <t>Ali Erdeyer</t>
        </is>
      </c>
      <c r="D6" t="inlineStr">
        <is>
          <t>Turkey</t>
        </is>
      </c>
      <c r="E6" t="n">
        <v>3</v>
      </c>
      <c r="F6" t="n">
        <v>0</v>
      </c>
      <c r="G6" t="n">
        <v>3</v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Airbnb</t>
        </is>
      </c>
      <c r="L6" t="n">
        <v>3</v>
      </c>
      <c r="M6" t="n">
        <v>90.36</v>
      </c>
      <c r="N6" t="n">
        <v>5</v>
      </c>
      <c r="O6" t="n">
        <v>5</v>
      </c>
      <c r="P6" t="n">
        <v>4</v>
      </c>
      <c r="Q6" t="n">
        <v>0</v>
      </c>
      <c r="R6" t="n">
        <v>14</v>
      </c>
      <c r="S6" t="n">
        <v>76.36</v>
      </c>
      <c r="T6" t="n">
        <v>7</v>
      </c>
      <c r="U6" t="n">
        <v>2025</v>
      </c>
      <c r="V6" t="inlineStr"/>
    </row>
    <row r="7">
      <c r="A7" s="19" t="n">
        <v>45857</v>
      </c>
      <c r="B7" s="19" t="n">
        <v>45865</v>
      </c>
      <c r="C7" t="inlineStr">
        <is>
          <t>Patsy Vanfleteren</t>
        </is>
      </c>
      <c r="D7" t="inlineStr">
        <is>
          <t>Belgium</t>
        </is>
      </c>
      <c r="E7" t="n">
        <v>3</v>
      </c>
      <c r="F7" t="n">
        <v>0</v>
      </c>
      <c r="G7" t="n">
        <v>3</v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inlineStr">
        <is>
          <t>Booking</t>
        </is>
      </c>
      <c r="L7" t="n">
        <v>8</v>
      </c>
      <c r="M7" t="n">
        <v>289.19</v>
      </c>
      <c r="N7" t="n">
        <v>5</v>
      </c>
      <c r="O7" t="n">
        <v>5</v>
      </c>
      <c r="P7" t="n">
        <v>4</v>
      </c>
      <c r="Q7" t="n">
        <v>0</v>
      </c>
      <c r="R7" t="n">
        <v>14</v>
      </c>
      <c r="S7" t="n">
        <v>275.19</v>
      </c>
      <c r="T7" t="n">
        <v>7</v>
      </c>
      <c r="U7" t="n">
        <v>2025</v>
      </c>
      <c r="V7" t="inlineStr"/>
    </row>
    <row r="8">
      <c r="A8" s="19" t="n">
        <v>45868</v>
      </c>
      <c r="B8" s="19" t="n">
        <v>45883</v>
      </c>
      <c r="C8" t="inlineStr">
        <is>
          <t>Daniela Dahlenburg</t>
        </is>
      </c>
      <c r="D8" t="inlineStr">
        <is>
          <t>Germany</t>
        </is>
      </c>
      <c r="E8" t="n">
        <v>2</v>
      </c>
      <c r="F8" t="n">
        <v>1</v>
      </c>
      <c r="G8" t="n">
        <v>3</v>
      </c>
      <c r="H8" t="inlineStr">
        <is>
          <t>Yes</t>
        </is>
      </c>
      <c r="I8" t="inlineStr">
        <is>
          <t>No</t>
        </is>
      </c>
      <c r="J8" t="inlineStr">
        <is>
          <t>Yes</t>
        </is>
      </c>
      <c r="K8" t="inlineStr">
        <is>
          <t>Booking</t>
        </is>
      </c>
      <c r="L8" t="n">
        <v>15</v>
      </c>
      <c r="M8" t="n">
        <v>629.71</v>
      </c>
      <c r="N8" t="n">
        <v>5</v>
      </c>
      <c r="O8" t="n">
        <v>5</v>
      </c>
      <c r="P8" t="n">
        <v>4</v>
      </c>
      <c r="Q8" t="n">
        <v>0</v>
      </c>
      <c r="R8" t="n">
        <v>14</v>
      </c>
      <c r="S8" t="n">
        <v>615.71</v>
      </c>
      <c r="T8" t="n">
        <v>7</v>
      </c>
      <c r="U8" t="n">
        <v>2025</v>
      </c>
      <c r="V8" t="inlineStr"/>
    </row>
    <row r="9">
      <c r="A9" s="19" t="n">
        <v>45883</v>
      </c>
      <c r="B9" s="19" t="n">
        <v>45887</v>
      </c>
      <c r="C9" t="inlineStr">
        <is>
          <t>Megi Milošević Mihajlovski</t>
        </is>
      </c>
      <c r="D9" t="inlineStr">
        <is>
          <t>Slovenia</t>
        </is>
      </c>
      <c r="E9" t="n">
        <v>2</v>
      </c>
      <c r="F9" t="n">
        <v>2</v>
      </c>
      <c r="G9" t="n">
        <v>4</v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Booking</t>
        </is>
      </c>
      <c r="L9" t="n">
        <v>4</v>
      </c>
      <c r="M9" t="n">
        <v>200.24</v>
      </c>
      <c r="N9" t="n">
        <v>5</v>
      </c>
      <c r="O9" t="n">
        <v>5</v>
      </c>
      <c r="P9" t="n">
        <v>4</v>
      </c>
      <c r="Q9" t="n">
        <v>0</v>
      </c>
      <c r="R9" t="n">
        <v>14</v>
      </c>
      <c r="S9" t="n">
        <v>186.24</v>
      </c>
      <c r="T9" t="n">
        <v>8</v>
      </c>
      <c r="U9" t="n">
        <v>2025</v>
      </c>
      <c r="V9" t="inlineStr"/>
    </row>
    <row r="10">
      <c r="A10" s="19" t="n">
        <v>45887</v>
      </c>
      <c r="B10" s="19" t="n">
        <v>45890</v>
      </c>
      <c r="C10" t="inlineStr">
        <is>
          <t>Emre Tuncay</t>
        </is>
      </c>
      <c r="D10" t="inlineStr">
        <is>
          <t>Turkey</t>
        </is>
      </c>
      <c r="E10" t="n">
        <v>2</v>
      </c>
      <c r="F10" t="n">
        <v>0</v>
      </c>
      <c r="G10" t="n">
        <v>2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Airbnb</t>
        </is>
      </c>
      <c r="L10" t="n">
        <v>3</v>
      </c>
      <c r="M10" t="n">
        <v>112.21</v>
      </c>
      <c r="N10" t="n">
        <v>5</v>
      </c>
      <c r="O10" t="n">
        <v>5</v>
      </c>
      <c r="P10" t="n">
        <v>4</v>
      </c>
      <c r="Q10" t="n">
        <v>0</v>
      </c>
      <c r="R10" t="n">
        <v>14</v>
      </c>
      <c r="S10" t="n">
        <v>98.20999999999999</v>
      </c>
      <c r="T10" t="n">
        <v>8</v>
      </c>
      <c r="U10" t="n">
        <v>2025</v>
      </c>
      <c r="V10" t="inlineStr"/>
    </row>
    <row r="11">
      <c r="A11" s="19" t="n">
        <v>45895</v>
      </c>
      <c r="B11" s="19" t="n">
        <v>45899</v>
      </c>
      <c r="C11" t="inlineStr">
        <is>
          <t>Nadia Dridi</t>
        </is>
      </c>
      <c r="D11" t="inlineStr">
        <is>
          <t>France</t>
        </is>
      </c>
      <c r="E11" t="n">
        <v>2</v>
      </c>
      <c r="F11" t="n">
        <v>0</v>
      </c>
      <c r="G11" t="n">
        <v>2</v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Airbnb</t>
        </is>
      </c>
      <c r="L11" t="n">
        <v>4</v>
      </c>
      <c r="M11" t="n">
        <v>169.31</v>
      </c>
      <c r="N11" t="n">
        <v>5</v>
      </c>
      <c r="O11" t="n">
        <v>5</v>
      </c>
      <c r="P11" t="n">
        <v>4</v>
      </c>
      <c r="Q11" t="n">
        <v>6</v>
      </c>
      <c r="R11" t="n">
        <v>20</v>
      </c>
      <c r="S11" t="n">
        <v>149.31</v>
      </c>
      <c r="T11" t="n">
        <v>8</v>
      </c>
      <c r="U11" t="n">
        <v>2025</v>
      </c>
      <c r="V11" t="inlineStr"/>
    </row>
    <row r="12">
      <c r="A12" s="19" t="n">
        <v>45904</v>
      </c>
      <c r="B12" s="19" t="n">
        <v>45911</v>
      </c>
      <c r="C12" t="inlineStr">
        <is>
          <t>Milo Drost</t>
        </is>
      </c>
      <c r="D12" t="inlineStr">
        <is>
          <t>Netherlands</t>
        </is>
      </c>
      <c r="E12" t="n">
        <v>1</v>
      </c>
      <c r="F12" t="n">
        <v>0</v>
      </c>
      <c r="G12" t="n">
        <v>1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Airbnb</t>
        </is>
      </c>
      <c r="L12" t="n">
        <v>7</v>
      </c>
      <c r="M12" t="n">
        <v>271.94</v>
      </c>
      <c r="N12" t="n">
        <v>5</v>
      </c>
      <c r="O12" t="n">
        <v>5</v>
      </c>
      <c r="P12" t="n">
        <v>4</v>
      </c>
      <c r="Q12" t="n">
        <v>6</v>
      </c>
      <c r="R12" t="n">
        <v>20</v>
      </c>
      <c r="S12" t="n">
        <v>251.94</v>
      </c>
      <c r="T12" t="n">
        <v>9</v>
      </c>
      <c r="U12" t="n">
        <v>2025</v>
      </c>
      <c r="V12" t="inlineStr"/>
    </row>
    <row r="13">
      <c r="A13" s="19" t="n">
        <v>45935</v>
      </c>
      <c r="B13" s="19" t="n">
        <v>45938</v>
      </c>
      <c r="C13" t="inlineStr">
        <is>
          <t>Su Beril Sider</t>
        </is>
      </c>
      <c r="D13" t="inlineStr">
        <is>
          <t>Turkey</t>
        </is>
      </c>
      <c r="E13" t="n">
        <v>2</v>
      </c>
      <c r="F13" t="n">
        <v>0</v>
      </c>
      <c r="G13" t="n">
        <v>2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Airbnb</t>
        </is>
      </c>
      <c r="L13" t="n">
        <v>3</v>
      </c>
      <c r="M13" t="n">
        <v>145.5</v>
      </c>
      <c r="N13" t="n">
        <v>5</v>
      </c>
      <c r="O13" t="n">
        <v>5</v>
      </c>
      <c r="P13" t="n">
        <v>4</v>
      </c>
      <c r="Q13" t="n">
        <v>6</v>
      </c>
      <c r="R13" t="n">
        <v>20</v>
      </c>
      <c r="S13" t="n">
        <v>125.5</v>
      </c>
      <c r="T13" t="n">
        <v>10</v>
      </c>
      <c r="U13" t="n">
        <v>2025</v>
      </c>
      <c r="V13" t="inlineStr"/>
    </row>
    <row r="14">
      <c r="A14" s="19" t="n">
        <v>45940</v>
      </c>
      <c r="B14" s="19" t="n">
        <v>45943</v>
      </c>
      <c r="C14" t="inlineStr">
        <is>
          <t>Bojana Sibinović</t>
        </is>
      </c>
      <c r="D14" t="inlineStr">
        <is>
          <t>Serbia</t>
        </is>
      </c>
      <c r="E14" t="n">
        <v>2</v>
      </c>
      <c r="F14" t="n">
        <v>0</v>
      </c>
      <c r="G14" t="n">
        <v>2</v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Booking</t>
        </is>
      </c>
      <c r="L14" t="n">
        <v>3</v>
      </c>
      <c r="M14" t="n">
        <v>92.84</v>
      </c>
      <c r="N14" t="n">
        <v>5</v>
      </c>
      <c r="O14" t="n">
        <v>5</v>
      </c>
      <c r="P14" t="n">
        <v>4</v>
      </c>
      <c r="Q14" t="n">
        <v>0</v>
      </c>
      <c r="R14" t="n">
        <v>14</v>
      </c>
      <c r="S14" t="n">
        <v>78.84</v>
      </c>
      <c r="T14" t="n">
        <v>10</v>
      </c>
      <c r="U14" t="n">
        <v>2025</v>
      </c>
      <c r="V14" t="inlineStr"/>
    </row>
    <row r="15">
      <c r="A15" s="19" t="n">
        <v>45948</v>
      </c>
      <c r="B15" s="19" t="n">
        <v>45951</v>
      </c>
      <c r="C15" t="inlineStr">
        <is>
          <t>İlayda Karaaslan</t>
        </is>
      </c>
      <c r="D15" t="inlineStr">
        <is>
          <t>Turkey</t>
        </is>
      </c>
      <c r="E15" t="n">
        <v>2</v>
      </c>
      <c r="F15" t="n">
        <v>0</v>
      </c>
      <c r="G15" t="n">
        <v>2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Airbnb</t>
        </is>
      </c>
      <c r="L15" t="n">
        <v>3</v>
      </c>
      <c r="M15" t="n">
        <v>104.76</v>
      </c>
      <c r="N15" t="n">
        <v>5</v>
      </c>
      <c r="O15" t="n">
        <v>5</v>
      </c>
      <c r="P15" t="n">
        <v>4</v>
      </c>
      <c r="Q15" t="n">
        <v>6</v>
      </c>
      <c r="R15" t="n">
        <v>20</v>
      </c>
      <c r="S15" t="n">
        <v>84.76000000000001</v>
      </c>
      <c r="T15" t="n">
        <v>10</v>
      </c>
      <c r="U15" t="n">
        <v>2025</v>
      </c>
      <c r="V15" t="inlineStr"/>
    </row>
    <row r="16">
      <c r="A16" s="19" t="n">
        <v>45953</v>
      </c>
      <c r="B16" s="19" t="n">
        <v>45956</v>
      </c>
      <c r="C16" t="inlineStr">
        <is>
          <t>Melih Can Sel</t>
        </is>
      </c>
      <c r="D16" t="inlineStr">
        <is>
          <t>Turkey</t>
        </is>
      </c>
      <c r="E16" t="n">
        <v>2</v>
      </c>
      <c r="F16" t="n">
        <v>0</v>
      </c>
      <c r="G16" t="n">
        <v>2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Airbnb</t>
        </is>
      </c>
      <c r="L16" t="n">
        <v>3</v>
      </c>
      <c r="M16" t="n">
        <v>104.76</v>
      </c>
      <c r="N16" t="n">
        <v>5</v>
      </c>
      <c r="O16" t="n">
        <v>5</v>
      </c>
      <c r="P16" t="n">
        <v>4</v>
      </c>
      <c r="Q16" t="n">
        <v>6</v>
      </c>
      <c r="R16" t="n">
        <v>20</v>
      </c>
      <c r="S16" t="n">
        <v>84.76000000000001</v>
      </c>
      <c r="T16" t="n">
        <v>10</v>
      </c>
      <c r="U16" t="n">
        <v>2025</v>
      </c>
      <c r="V16" t="inlineStr"/>
    </row>
    <row r="17">
      <c r="A17" s="19" t="n">
        <v>45957</v>
      </c>
      <c r="B17" s="19" t="n">
        <v>45960</v>
      </c>
      <c r="C17" t="inlineStr">
        <is>
          <t>Selen Çetin</t>
        </is>
      </c>
      <c r="D17" t="inlineStr">
        <is>
          <t>Turkey</t>
        </is>
      </c>
      <c r="E17" t="n">
        <v>2</v>
      </c>
      <c r="F17" t="n">
        <v>1</v>
      </c>
      <c r="G17" t="n">
        <v>3</v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  <c r="K17" t="inlineStr">
        <is>
          <t>Airbnb</t>
        </is>
      </c>
      <c r="L17" t="n">
        <v>3</v>
      </c>
      <c r="M17" t="n">
        <v>111.31</v>
      </c>
      <c r="N17" t="n">
        <v>5</v>
      </c>
      <c r="O17" t="n">
        <v>5</v>
      </c>
      <c r="P17" t="n">
        <v>4</v>
      </c>
      <c r="Q17" t="n">
        <v>6</v>
      </c>
      <c r="R17" t="n">
        <v>20</v>
      </c>
      <c r="S17" t="n">
        <v>91.31</v>
      </c>
      <c r="T17" t="n">
        <v>10</v>
      </c>
      <c r="U17" t="n">
        <v>2025</v>
      </c>
      <c r="V17" t="inlineStr"/>
    </row>
    <row r="18">
      <c r="A18" s="19" t="n">
        <v>45961</v>
      </c>
      <c r="B18" s="19" t="n">
        <v>45964</v>
      </c>
      <c r="C18" t="inlineStr">
        <is>
          <t>Hasan Gultekin</t>
        </is>
      </c>
      <c r="D18" t="inlineStr">
        <is>
          <t>Turkey</t>
        </is>
      </c>
      <c r="E18" t="n">
        <v>2</v>
      </c>
      <c r="F18" t="n">
        <v>1</v>
      </c>
      <c r="G18" t="n">
        <v>3</v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Airbnb</t>
        </is>
      </c>
      <c r="L18" t="n">
        <v>3</v>
      </c>
      <c r="M18" t="n">
        <v>113.49</v>
      </c>
      <c r="N18" t="n">
        <v>5</v>
      </c>
      <c r="O18" t="n">
        <v>5</v>
      </c>
      <c r="P18" t="n">
        <v>4</v>
      </c>
      <c r="Q18" t="n">
        <v>6</v>
      </c>
      <c r="R18" t="n">
        <v>20</v>
      </c>
      <c r="S18" t="n">
        <v>93.48999999999999</v>
      </c>
      <c r="T18" t="n">
        <v>10</v>
      </c>
      <c r="U18" t="n">
        <v>2025</v>
      </c>
      <c r="V18" t="inlineStr"/>
    </row>
    <row r="19">
      <c r="A19" s="19" t="n">
        <v>45967</v>
      </c>
      <c r="B19" s="19" t="n">
        <v>45972</v>
      </c>
      <c r="C19" t="inlineStr">
        <is>
          <t>Eli Fidanova</t>
        </is>
      </c>
      <c r="D19" t="inlineStr">
        <is>
          <t>England</t>
        </is>
      </c>
      <c r="E19" t="n">
        <v>3</v>
      </c>
      <c r="F19" t="n">
        <v>0</v>
      </c>
      <c r="G19" t="n">
        <v>3</v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Airbnb</t>
        </is>
      </c>
      <c r="L19" t="n">
        <v>5</v>
      </c>
      <c r="M19" t="n">
        <v>174.6</v>
      </c>
      <c r="N19" t="n">
        <v>5</v>
      </c>
      <c r="O19" t="n">
        <v>5</v>
      </c>
      <c r="P19" t="n">
        <v>4</v>
      </c>
      <c r="Q19" t="n">
        <v>6</v>
      </c>
      <c r="R19" t="n">
        <v>20</v>
      </c>
      <c r="S19" t="n">
        <v>154.6</v>
      </c>
      <c r="T19" t="n">
        <v>11</v>
      </c>
      <c r="U19" t="n">
        <v>2025</v>
      </c>
      <c r="V19" t="inlineStr"/>
    </row>
    <row r="20">
      <c r="A20" s="19" t="n">
        <v>45972</v>
      </c>
      <c r="B20" s="19" t="n">
        <v>45976</v>
      </c>
      <c r="C20" t="inlineStr">
        <is>
          <t>Sinan Çakır</t>
        </is>
      </c>
      <c r="D20" t="inlineStr">
        <is>
          <t>Turkey</t>
        </is>
      </c>
      <c r="E20" t="n">
        <v>2</v>
      </c>
      <c r="F20" t="n">
        <v>1</v>
      </c>
      <c r="G20" t="n">
        <v>3</v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Airbnb</t>
        </is>
      </c>
      <c r="L20" t="n">
        <v>4</v>
      </c>
      <c r="M20" t="n">
        <v>139.68</v>
      </c>
      <c r="N20" t="n">
        <v>5</v>
      </c>
      <c r="O20" t="n">
        <v>5</v>
      </c>
      <c r="P20" t="n">
        <v>4</v>
      </c>
      <c r="Q20" t="n">
        <v>6</v>
      </c>
      <c r="R20" t="n">
        <v>20</v>
      </c>
      <c r="S20" t="n">
        <v>119.68</v>
      </c>
      <c r="T20" t="n">
        <v>11</v>
      </c>
      <c r="U20" t="n">
        <v>2025</v>
      </c>
      <c r="V20" t="inlineStr"/>
    </row>
    <row r="21">
      <c r="A21" s="19" t="n">
        <v>45996</v>
      </c>
      <c r="B21" s="19" t="n">
        <v>45999</v>
      </c>
      <c r="C21" t="inlineStr">
        <is>
          <t>Sandri Mitre</t>
        </is>
      </c>
      <c r="D21" t="inlineStr">
        <is>
          <t>Austria</t>
        </is>
      </c>
      <c r="E21" t="n">
        <v>1</v>
      </c>
      <c r="F21" t="n">
        <v>0</v>
      </c>
      <c r="G21" t="n">
        <v>1</v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Airbnb</t>
        </is>
      </c>
      <c r="L21" t="n">
        <v>3</v>
      </c>
      <c r="M21" t="n">
        <v>109.12</v>
      </c>
      <c r="N21" t="n">
        <v>5</v>
      </c>
      <c r="O21" t="n">
        <v>5</v>
      </c>
      <c r="P21" t="n">
        <v>3.77</v>
      </c>
      <c r="Q21" t="n">
        <v>6</v>
      </c>
      <c r="R21" t="n">
        <v>19.77</v>
      </c>
      <c r="S21" t="n">
        <v>89.34999999999999</v>
      </c>
      <c r="T21" t="n">
        <v>12</v>
      </c>
      <c r="U21" t="n">
        <v>2025</v>
      </c>
      <c r="V21" t="inlineStr"/>
    </row>
    <row r="22">
      <c r="A22" s="19" t="n">
        <v>46004</v>
      </c>
      <c r="B22" s="19" t="n">
        <v>46007</v>
      </c>
      <c r="C22" t="inlineStr">
        <is>
          <t>Hicran Dinçer Kenar</t>
        </is>
      </c>
      <c r="D22" t="inlineStr">
        <is>
          <t>Turkey</t>
        </is>
      </c>
      <c r="E22" t="n">
        <v>2</v>
      </c>
      <c r="F22" t="n">
        <v>0</v>
      </c>
      <c r="G22" t="n">
        <v>1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Airbnb</t>
        </is>
      </c>
      <c r="L22" t="n">
        <v>3</v>
      </c>
      <c r="M22" t="n">
        <v>126.1</v>
      </c>
      <c r="N22" t="n">
        <v>5</v>
      </c>
      <c r="O22" t="n">
        <v>5</v>
      </c>
      <c r="P22" t="n">
        <v>3.77</v>
      </c>
      <c r="Q22" t="n">
        <v>6</v>
      </c>
      <c r="R22" t="n">
        <v>19.77</v>
      </c>
      <c r="S22" t="n">
        <v>106.33</v>
      </c>
      <c r="T22" t="n">
        <v>12</v>
      </c>
      <c r="U22" t="n">
        <v>2025</v>
      </c>
      <c r="V22" t="inlineStr"/>
    </row>
    <row r="23">
      <c r="A23" s="19" t="n">
        <v>46015</v>
      </c>
      <c r="B23" s="19" t="n">
        <v>46020</v>
      </c>
      <c r="C23" t="inlineStr">
        <is>
          <t>Laurent Qestaj</t>
        </is>
      </c>
      <c r="D23" t="inlineStr">
        <is>
          <t>Austria</t>
        </is>
      </c>
      <c r="E23" t="n">
        <v>2</v>
      </c>
      <c r="F23" t="n">
        <v>0</v>
      </c>
      <c r="G23" t="n">
        <v>2</v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Airbnb</t>
        </is>
      </c>
      <c r="L23" t="n">
        <v>5</v>
      </c>
      <c r="M23" t="n">
        <v>208.55</v>
      </c>
      <c r="N23" t="n">
        <v>5</v>
      </c>
      <c r="O23" t="n">
        <v>5</v>
      </c>
      <c r="P23" t="n">
        <v>3.77</v>
      </c>
      <c r="Q23" t="n">
        <v>6</v>
      </c>
      <c r="R23" t="n">
        <v>19.77</v>
      </c>
      <c r="S23" t="n">
        <v>188.78</v>
      </c>
      <c r="T23" t="n">
        <v>12</v>
      </c>
      <c r="U23" t="n">
        <v>2025</v>
      </c>
      <c r="V23" t="inlineStr"/>
    </row>
    <row r="24">
      <c r="A24" s="19" t="n">
        <v>46043</v>
      </c>
      <c r="B24" s="19" t="n">
        <v>46046</v>
      </c>
      <c r="C24" t="inlineStr">
        <is>
          <t>Gökhan Ay</t>
        </is>
      </c>
      <c r="D24" t="inlineStr">
        <is>
          <t>Turkey</t>
        </is>
      </c>
      <c r="E24" t="n">
        <v>2</v>
      </c>
      <c r="F24" t="n">
        <v>1</v>
      </c>
      <c r="G24" t="n">
        <v>3</v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Airbnb</t>
        </is>
      </c>
      <c r="L24" t="n">
        <v>3</v>
      </c>
      <c r="M24" t="n">
        <v>104.76</v>
      </c>
      <c r="N24" t="n">
        <v>5</v>
      </c>
      <c r="O24" t="n">
        <v>5</v>
      </c>
      <c r="P24" t="n">
        <v>3.77</v>
      </c>
      <c r="Q24" t="n">
        <v>6</v>
      </c>
      <c r="R24" t="n">
        <v>19.77</v>
      </c>
      <c r="S24" t="n">
        <v>84.98999999999999</v>
      </c>
      <c r="T24" t="n">
        <v>1</v>
      </c>
      <c r="U24" t="n">
        <v>2026</v>
      </c>
      <c r="V24" t="inlineStr"/>
    </row>
    <row r="25">
      <c r="A25" s="19" t="n">
        <v>46049</v>
      </c>
      <c r="B25" s="19" t="n">
        <v>46077</v>
      </c>
      <c r="C25" t="inlineStr">
        <is>
          <t>Merve Yaltalı</t>
        </is>
      </c>
      <c r="D25" t="inlineStr">
        <is>
          <t>Turkey</t>
        </is>
      </c>
      <c r="E25" t="n">
        <v>2</v>
      </c>
      <c r="F25" t="n">
        <v>1</v>
      </c>
      <c r="G25" t="n">
        <v>3</v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Airbnb</t>
        </is>
      </c>
      <c r="L25" t="n">
        <v>28</v>
      </c>
      <c r="M25" t="n">
        <v>1054.84</v>
      </c>
      <c r="N25" t="n">
        <v>5</v>
      </c>
      <c r="O25" t="n">
        <v>5</v>
      </c>
      <c r="P25" t="n">
        <v>3.77</v>
      </c>
      <c r="Q25" t="n">
        <v>6</v>
      </c>
      <c r="R25" t="n">
        <v>19.77</v>
      </c>
      <c r="S25" t="n">
        <v>1035.07</v>
      </c>
      <c r="T25" t="n">
        <v>1</v>
      </c>
      <c r="U25" t="n">
        <v>2026</v>
      </c>
      <c r="V25" t="inlineStr"/>
    </row>
    <row r="26">
      <c r="A26" s="19" t="n">
        <v>46095</v>
      </c>
      <c r="B26" s="19" t="n">
        <v>46098</v>
      </c>
      <c r="C26" t="inlineStr">
        <is>
          <t>Enikő Tóth</t>
        </is>
      </c>
      <c r="D26" t="inlineStr">
        <is>
          <t>Netherlands</t>
        </is>
      </c>
      <c r="E26" t="n">
        <v>2</v>
      </c>
      <c r="F26" t="n">
        <v>0</v>
      </c>
      <c r="G26" t="n">
        <v>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Booking</t>
        </is>
      </c>
      <c r="L26" t="n">
        <v>3</v>
      </c>
      <c r="M26" t="n">
        <v>123.24</v>
      </c>
      <c r="N26" t="n">
        <v>5</v>
      </c>
      <c r="O26" t="n">
        <v>5</v>
      </c>
      <c r="P26" t="n">
        <v>3.77</v>
      </c>
      <c r="Q26" t="n">
        <v>6</v>
      </c>
      <c r="R26" t="n">
        <v>19.77</v>
      </c>
      <c r="S26" t="n">
        <v>103.47</v>
      </c>
      <c r="T26" t="n">
        <v>3</v>
      </c>
      <c r="U26" t="n">
        <v>2026</v>
      </c>
      <c r="V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Year</t>
        </is>
      </c>
      <c r="B1" s="17" t="inlineStr">
        <is>
          <t>MONTH</t>
        </is>
      </c>
      <c r="C1" s="17" t="inlineStr">
        <is>
          <t>Electricity (den)</t>
        </is>
      </c>
      <c r="D1" s="17" t="inlineStr">
        <is>
          <t>Electricity (€)</t>
        </is>
      </c>
      <c r="E1" s="17" t="inlineStr">
        <is>
          <t>Water (den)</t>
        </is>
      </c>
      <c r="F1" s="17" t="inlineStr">
        <is>
          <t>Water (€)</t>
        </is>
      </c>
      <c r="G1" s="17" t="inlineStr">
        <is>
          <t>Property Management Fee (den)</t>
        </is>
      </c>
      <c r="H1" s="17" t="inlineStr">
        <is>
          <t>Property Management Fee (€)</t>
        </is>
      </c>
      <c r="I1" s="17" t="inlineStr">
        <is>
          <t>Internet (€)</t>
        </is>
      </c>
      <c r="J1" s="17" t="inlineStr">
        <is>
          <t>TV (€)</t>
        </is>
      </c>
      <c r="K1" s="17" t="inlineStr">
        <is>
          <t>Other fixed costs (€)</t>
        </is>
      </c>
      <c r="L1" s="17" t="inlineStr">
        <is>
          <t>Total Fixed Costs (€)</t>
        </is>
      </c>
    </row>
    <row r="2">
      <c r="A2" t="n">
        <v>2025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2025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2025</v>
      </c>
      <c r="B4" t="n">
        <v>3</v>
      </c>
      <c r="C4" t="n">
        <v>674</v>
      </c>
      <c r="D4" t="n">
        <v>10.95756787514225</v>
      </c>
      <c r="E4" t="n">
        <v>291</v>
      </c>
      <c r="F4" t="n">
        <v>4.730938058852219</v>
      </c>
      <c r="G4" t="n">
        <v>2504</v>
      </c>
      <c r="H4" t="n">
        <v>40.70882783287271</v>
      </c>
      <c r="I4" t="n">
        <v>0</v>
      </c>
      <c r="J4" t="n">
        <v>3.24</v>
      </c>
      <c r="K4" t="n">
        <v>0</v>
      </c>
      <c r="L4" t="n">
        <v>59.63733376686718</v>
      </c>
    </row>
    <row r="5">
      <c r="A5" t="n">
        <v>2025</v>
      </c>
      <c r="B5" t="n">
        <v>4</v>
      </c>
      <c r="C5" t="n">
        <v>1025</v>
      </c>
      <c r="D5" t="n">
        <v>16.66395708014957</v>
      </c>
      <c r="E5" t="n">
        <v>419</v>
      </c>
      <c r="F5" t="n">
        <v>6.811900503983092</v>
      </c>
      <c r="G5" t="n">
        <v>2696</v>
      </c>
      <c r="H5" t="n">
        <v>43.83027150056901</v>
      </c>
      <c r="I5" t="n">
        <v>0</v>
      </c>
      <c r="J5" t="n">
        <v>3.24</v>
      </c>
      <c r="K5" t="n">
        <v>0</v>
      </c>
      <c r="L5" t="n">
        <v>70.54612908470166</v>
      </c>
    </row>
    <row r="6">
      <c r="A6" t="n">
        <v>2025</v>
      </c>
      <c r="B6" t="n">
        <v>5</v>
      </c>
      <c r="C6" t="n">
        <v>1312</v>
      </c>
      <c r="D6" t="n">
        <v>21.32986506259145</v>
      </c>
      <c r="E6" t="n">
        <v>651</v>
      </c>
      <c r="F6" t="n">
        <v>10.5836449357828</v>
      </c>
      <c r="G6" t="n">
        <v>2692</v>
      </c>
      <c r="H6" t="n">
        <v>43.76524142415867</v>
      </c>
      <c r="I6" t="n">
        <v>0</v>
      </c>
      <c r="J6" t="n">
        <v>3.24</v>
      </c>
      <c r="K6" t="n">
        <v>0</v>
      </c>
      <c r="L6" t="n">
        <v>78.91875142253292</v>
      </c>
    </row>
    <row r="7">
      <c r="A7" t="n">
        <v>2025</v>
      </c>
      <c r="B7" t="n">
        <v>6</v>
      </c>
      <c r="C7" t="n">
        <v>2050</v>
      </c>
      <c r="D7" t="n">
        <v>33.32791416029914</v>
      </c>
      <c r="E7" t="n">
        <v>411</v>
      </c>
      <c r="F7" t="n">
        <v>6.681840351162413</v>
      </c>
      <c r="G7" t="n">
        <v>2787</v>
      </c>
      <c r="H7" t="n">
        <v>45.30970573890424</v>
      </c>
      <c r="I7" t="n">
        <v>0</v>
      </c>
      <c r="J7" t="n">
        <v>3.24</v>
      </c>
      <c r="K7" t="n">
        <v>0</v>
      </c>
      <c r="L7" t="n">
        <v>88.55946025036579</v>
      </c>
    </row>
    <row r="8">
      <c r="A8" t="n">
        <v>2025</v>
      </c>
      <c r="B8" t="n">
        <v>7</v>
      </c>
      <c r="C8" t="n">
        <v>3284</v>
      </c>
      <c r="D8" t="n">
        <v>53.38969273288896</v>
      </c>
      <c r="E8" t="n">
        <v>211</v>
      </c>
      <c r="F8" t="n">
        <v>3.430336530645424</v>
      </c>
      <c r="G8" t="n">
        <v>2755</v>
      </c>
      <c r="H8" t="n">
        <v>44.78946512762153</v>
      </c>
      <c r="I8" t="n">
        <v>0</v>
      </c>
      <c r="J8" t="n">
        <v>3.24</v>
      </c>
      <c r="K8" t="n">
        <v>0</v>
      </c>
      <c r="L8" t="n">
        <v>104.8494943911559</v>
      </c>
    </row>
    <row r="9">
      <c r="A9" t="n">
        <v>2025</v>
      </c>
      <c r="B9" t="n">
        <v>8</v>
      </c>
      <c r="C9" t="n">
        <v>2823</v>
      </c>
      <c r="D9" t="n">
        <v>45.8949764265973</v>
      </c>
      <c r="E9" t="n">
        <v>611</v>
      </c>
      <c r="F9" t="n">
        <v>9.933344171679401</v>
      </c>
      <c r="G9" t="n">
        <v>2816</v>
      </c>
      <c r="H9" t="n">
        <v>45.78117379287921</v>
      </c>
      <c r="I9" t="n">
        <v>0</v>
      </c>
      <c r="J9" t="n">
        <v>3.24</v>
      </c>
      <c r="K9" t="n">
        <v>0</v>
      </c>
      <c r="L9" t="n">
        <v>104.8494943911559</v>
      </c>
    </row>
    <row r="10">
      <c r="A10" t="n">
        <v>2025</v>
      </c>
      <c r="B10" t="n">
        <v>9</v>
      </c>
      <c r="C10" t="n">
        <v>2304</v>
      </c>
      <c r="D10" t="n">
        <v>37.45732401235571</v>
      </c>
      <c r="E10" t="n">
        <v>431</v>
      </c>
      <c r="F10" t="n">
        <v>7.006990733214112</v>
      </c>
      <c r="G10" t="n">
        <v>2701</v>
      </c>
      <c r="H10" t="n">
        <v>43.91155909608194</v>
      </c>
      <c r="I10" t="n">
        <v>0</v>
      </c>
      <c r="J10" t="n">
        <v>3.24</v>
      </c>
      <c r="K10" t="n">
        <v>0</v>
      </c>
      <c r="L10" t="n">
        <v>91.61587384165175</v>
      </c>
    </row>
    <row r="11">
      <c r="A11" t="n">
        <v>2025</v>
      </c>
      <c r="B11" t="n">
        <v>10</v>
      </c>
      <c r="C11" t="n">
        <v>2838</v>
      </c>
      <c r="D11" t="n">
        <v>46.13883921313608</v>
      </c>
      <c r="E11" t="n">
        <v>211</v>
      </c>
      <c r="F11" t="n">
        <v>3.430336530645424</v>
      </c>
      <c r="G11" t="n">
        <v>2927</v>
      </c>
      <c r="H11" t="n">
        <v>47.58575841326613</v>
      </c>
      <c r="I11" t="n">
        <v>11</v>
      </c>
      <c r="J11" t="n">
        <v>3.24</v>
      </c>
      <c r="K11" t="n">
        <v>0</v>
      </c>
      <c r="L11" t="n">
        <v>111.3949341570476</v>
      </c>
    </row>
    <row r="12">
      <c r="A12" t="n">
        <v>2025</v>
      </c>
      <c r="B12" t="n">
        <v>11</v>
      </c>
      <c r="C12" t="n">
        <v>0</v>
      </c>
      <c r="D12" t="n">
        <v>0</v>
      </c>
      <c r="E12" t="n">
        <v>475</v>
      </c>
      <c r="F12" t="n">
        <v>7.722321573727849</v>
      </c>
      <c r="G12" t="n">
        <v>0</v>
      </c>
      <c r="H12" t="n">
        <v>0</v>
      </c>
      <c r="I12" t="n">
        <v>11</v>
      </c>
      <c r="J12" t="n">
        <v>3.24</v>
      </c>
      <c r="K12" t="n">
        <v>0</v>
      </c>
      <c r="L12" t="n">
        <v>21.96232157372785</v>
      </c>
    </row>
    <row r="13">
      <c r="A13" t="n">
        <v>2025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/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2026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2026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2026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2026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2026</v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2026</v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2026</v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2026</v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2026</v>
      </c>
      <c r="B23" t="n">
        <v>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2026</v>
      </c>
      <c r="B24" t="n">
        <v>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2026</v>
      </c>
      <c r="B25" t="n">
        <v>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2026</v>
      </c>
      <c r="B26" t="n">
        <v>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Item</t>
        </is>
      </c>
      <c r="B1" s="17" t="inlineStr">
        <is>
          <t>Unit Price (MKD)</t>
        </is>
      </c>
      <c r="C1" s="17" t="inlineStr">
        <is>
          <t>Units per Stay</t>
        </is>
      </c>
      <c r="D1" s="17" t="inlineStr">
        <is>
          <t>Total (MKD)</t>
        </is>
      </c>
    </row>
    <row r="2">
      <c r="A2" t="inlineStr">
        <is>
          <t>Tootbrush</t>
        </is>
      </c>
      <c r="B2" t="n">
        <v>6</v>
      </c>
      <c r="C2" t="n">
        <v>1</v>
      </c>
      <c r="D2" t="n">
        <v>6</v>
      </c>
    </row>
    <row r="3">
      <c r="A3" t="inlineStr">
        <is>
          <t>Tootpaste</t>
        </is>
      </c>
      <c r="B3" t="n">
        <v>5</v>
      </c>
      <c r="C3" t="n">
        <v>1</v>
      </c>
      <c r="D3" t="n">
        <v>5</v>
      </c>
    </row>
    <row r="4">
      <c r="A4" t="inlineStr">
        <is>
          <t>Soap</t>
        </is>
      </c>
      <c r="B4" t="n">
        <v>15</v>
      </c>
      <c r="C4" t="n">
        <v>1</v>
      </c>
      <c r="D4" t="n">
        <v>15</v>
      </c>
    </row>
    <row r="5">
      <c r="A5" t="inlineStr">
        <is>
          <t>Disposable Slippers</t>
        </is>
      </c>
      <c r="B5" t="n">
        <v>5</v>
      </c>
      <c r="C5" t="n">
        <v>1</v>
      </c>
      <c r="D5" t="n">
        <v>5</v>
      </c>
    </row>
    <row r="6">
      <c r="A6" t="inlineStr">
        <is>
          <t>Cotton Pads</t>
        </is>
      </c>
      <c r="B6" t="n">
        <v>1</v>
      </c>
      <c r="C6" t="n">
        <v>2</v>
      </c>
      <c r="D6" t="n">
        <v>2</v>
      </c>
    </row>
    <row r="7">
      <c r="A7" t="inlineStr">
        <is>
          <t>Cotton Swabs</t>
        </is>
      </c>
      <c r="B7" t="n">
        <v>1</v>
      </c>
      <c r="C7" t="n">
        <v>2</v>
      </c>
      <c r="D7" t="n">
        <v>2</v>
      </c>
    </row>
    <row r="8">
      <c r="A8" t="inlineStr">
        <is>
          <t>Floss Picks</t>
        </is>
      </c>
      <c r="B8" t="n">
        <v>1</v>
      </c>
      <c r="C8" t="n">
        <v>2</v>
      </c>
      <c r="D8" t="n">
        <v>2</v>
      </c>
    </row>
    <row r="9">
      <c r="A9" t="inlineStr">
        <is>
          <t>Toilet Paper</t>
        </is>
      </c>
      <c r="B9" t="n">
        <v>15</v>
      </c>
      <c r="C9" t="n">
        <v>3</v>
      </c>
      <c r="D9" t="n">
        <v>45</v>
      </c>
    </row>
    <row r="10">
      <c r="A10" t="inlineStr">
        <is>
          <t>Botle of Water</t>
        </is>
      </c>
      <c r="B10" t="n">
        <v>20</v>
      </c>
      <c r="C10" t="n">
        <v>1</v>
      </c>
      <c r="D10" t="n">
        <v>20</v>
      </c>
    </row>
    <row r="11">
      <c r="A11" t="inlineStr">
        <is>
          <t>Coffee capsules</t>
        </is>
      </c>
      <c r="B11" t="n">
        <v>20</v>
      </c>
      <c r="C11" t="n">
        <v>6</v>
      </c>
      <c r="D11" t="n">
        <v>120</v>
      </c>
    </row>
    <row r="12">
      <c r="A12" t="inlineStr">
        <is>
          <t>Tea</t>
        </is>
      </c>
      <c r="B12" t="n">
        <v>5</v>
      </c>
      <c r="C12" t="n">
        <v>2</v>
      </c>
      <c r="D12" t="n">
        <v>10</v>
      </c>
    </row>
    <row r="13">
      <c r="A13" t="inlineStr"/>
      <c r="B13" t="n">
        <v>0</v>
      </c>
      <c r="C13" t="n">
        <v>0</v>
      </c>
      <c r="D13" t="n">
        <v>0</v>
      </c>
    </row>
    <row r="14">
      <c r="A14" t="inlineStr"/>
      <c r="B14" t="n">
        <v>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4" customWidth="1" style="15" min="1" max="1"/>
    <col width="7.5546875" customWidth="1" style="15" min="2" max="2"/>
    <col width="6.109375" customWidth="1" style="15" min="3" max="3"/>
    <col width="14.109375" customWidth="1" style="15" min="4" max="4"/>
    <col width="18.109375" customWidth="1" style="15" min="5" max="5"/>
    <col width="29.44140625" customWidth="1" style="15" min="6" max="6"/>
    <col width="26.109375" customWidth="1" style="15" min="7" max="7"/>
    <col width="24.88671875" customWidth="1" style="15" min="8" max="8"/>
    <col width="29.44140625" customWidth="1" style="15" min="9" max="9"/>
    <col width="16.33203125" customWidth="1" style="15" min="10" max="10"/>
    <col width="21" customWidth="1" style="15" min="11" max="11"/>
    <col width="29.33203125" customWidth="1" style="15" min="12" max="12"/>
    <col width="8.6640625" customWidth="1" style="15" min="13" max="26"/>
  </cols>
  <sheetData>
    <row r="1" ht="14.4" customHeight="1" s="15">
      <c r="A1" s="2" t="inlineStr">
        <is>
          <t>OVERALL SUMMARY</t>
        </is>
      </c>
      <c r="B1" s="3" t="n"/>
      <c r="D1" s="4" t="inlineStr">
        <is>
          <t>Month (1-12)</t>
        </is>
      </c>
      <c r="E1" s="4" t="inlineStr">
        <is>
          <t>Revenue (€)</t>
        </is>
      </c>
      <c r="F1" s="4" t="inlineStr">
        <is>
          <t>Nights</t>
        </is>
      </c>
      <c r="G1" s="4" t="inlineStr">
        <is>
          <t>Net income before fixed (€)</t>
        </is>
      </c>
      <c r="H1" s="5" t="inlineStr">
        <is>
          <t>Average price per night (€)</t>
        </is>
      </c>
      <c r="I1" s="1" t="n"/>
      <c r="J1" s="1" t="n"/>
      <c r="K1" s="1" t="n"/>
      <c r="L1" s="1" t="n"/>
    </row>
    <row r="2" ht="14.4" customHeight="1" s="15">
      <c r="A2" s="9" t="inlineStr">
        <is>
          <t>Reservations count</t>
        </is>
      </c>
      <c r="B2" s="6">
        <f>COUNT(Bookings!L:L)</f>
        <v/>
      </c>
      <c r="D2" s="4" t="n">
        <v>1</v>
      </c>
      <c r="E2" s="6">
        <f>SUMIFS(Bookings!$M:$M,Bookings!$U:$U,$B$15,Bookings!$T:$T,$D2)</f>
        <v/>
      </c>
      <c r="F2" s="6">
        <f>SUMIFS(Bookings!$L:$L,Bookings!$U:$U,$B$15,Bookings!$T:$T,$D2)</f>
        <v/>
      </c>
      <c r="G2" s="6">
        <f>SUMIFS(Bookings!$S:$S,Bookings!$U:$U,$B$15,Bookings!$T:$T,$D2)</f>
        <v/>
      </c>
      <c r="H2" s="7">
        <f>IF(F2&gt;0,E2/F2,"")</f>
        <v/>
      </c>
      <c r="I2" s="1" t="n"/>
      <c r="J2" s="1" t="n"/>
      <c r="K2" s="1" t="n"/>
      <c r="L2" s="1" t="n"/>
    </row>
    <row r="3" ht="14.4" customHeight="1" s="15">
      <c r="A3" s="9" t="inlineStr">
        <is>
          <t>Total nights</t>
        </is>
      </c>
      <c r="B3" s="6">
        <f>SUM(Bookings!L:L)</f>
        <v/>
      </c>
      <c r="D3" s="4" t="n">
        <v>2</v>
      </c>
      <c r="E3" s="6">
        <f>SUMIFS(Bookings!$M:$M,Bookings!$U:$U,$B$15,Bookings!$T:$T,$D3)</f>
        <v/>
      </c>
      <c r="F3" s="6">
        <f>SUMIFS(Bookings!$L:$L,Bookings!$U:$U,$B$15,Bookings!$T:$T,$D3)</f>
        <v/>
      </c>
      <c r="G3" s="6">
        <f>SUMIFS(Bookings!$S:$S,Bookings!$U:$U,$B$15,Bookings!$T:$T,$D3)</f>
        <v/>
      </c>
      <c r="H3" s="7">
        <f>IF(F3&gt;0,E3/F3,"")</f>
        <v/>
      </c>
      <c r="I3" s="1" t="n"/>
      <c r="J3" s="1" t="n"/>
      <c r="K3" s="1" t="n"/>
      <c r="L3" s="1" t="n"/>
    </row>
    <row r="4" ht="14.4" customHeight="1" s="15">
      <c r="A4" s="9" t="inlineStr">
        <is>
          <t>Total revenue (€)</t>
        </is>
      </c>
      <c r="B4" s="6">
        <f>SUM(Bookings!M:M)</f>
        <v/>
      </c>
      <c r="D4" s="4" t="n">
        <v>3</v>
      </c>
      <c r="E4" s="6">
        <f>SUMIFS(Bookings!$M:$M,Bookings!$U:$U,$B$15,Bookings!$T:$T,$D4)</f>
        <v/>
      </c>
      <c r="F4" s="6">
        <f>SUMIFS(Bookings!$L:$L,Bookings!$U:$U,$B$15,Bookings!$T:$T,$D4)</f>
        <v/>
      </c>
      <c r="G4" s="6">
        <f>SUMIFS(Bookings!$S:$S,Bookings!$U:$U,$B$15,Bookings!$T:$T,$D4)</f>
        <v/>
      </c>
      <c r="H4" s="7">
        <f>IF(F4&gt;0,E4/F4,"")</f>
        <v/>
      </c>
      <c r="I4" s="1" t="n"/>
      <c r="J4" s="1" t="n"/>
      <c r="K4" s="1" t="n"/>
      <c r="L4" s="1" t="n"/>
    </row>
    <row r="5" ht="14.4" customHeight="1" s="15">
      <c r="A5" s="9" t="inlineStr">
        <is>
          <t>Total Per-stay expenses (€)</t>
        </is>
      </c>
      <c r="B5" s="6">
        <f>SUM(Bookings!R:R)</f>
        <v/>
      </c>
      <c r="D5" s="4" t="n">
        <v>4</v>
      </c>
      <c r="E5" s="6">
        <f>SUMIFS(Bookings!$M:$M,Bookings!$U:$U,$B$15,Bookings!$T:$T,$D5)</f>
        <v/>
      </c>
      <c r="F5" s="6">
        <f>SUMIFS(Bookings!$L:$L,Bookings!$U:$U,$B$15,Bookings!$T:$T,$D5)</f>
        <v/>
      </c>
      <c r="G5" s="6">
        <f>SUMIFS(Bookings!$S:$S,Bookings!$U:$U,$B$15,Bookings!$T:$T,$D5)</f>
        <v/>
      </c>
      <c r="H5" s="7">
        <f>IF(F5&gt;0,E5/F5,"")</f>
        <v/>
      </c>
      <c r="I5" s="1" t="n"/>
      <c r="J5" s="1" t="n"/>
      <c r="K5" s="1" t="n"/>
      <c r="L5" s="1" t="n"/>
    </row>
    <row r="6" ht="14.4" customHeight="1" s="15">
      <c r="A6" s="9" t="inlineStr">
        <is>
          <t>Total monthly costs (€)</t>
        </is>
      </c>
      <c r="B6" s="7">
        <f>Monthly_Costs!L14</f>
        <v/>
      </c>
      <c r="D6" s="4" t="n">
        <v>5</v>
      </c>
      <c r="E6" s="6">
        <f>SUMIFS(Bookings!$M:$M,Bookings!$U:$U,$B$15,Bookings!$T:$T,$D6)</f>
        <v/>
      </c>
      <c r="F6" s="6">
        <f>SUMIFS(Bookings!$L:$L,Bookings!$U:$U,$B$15,Bookings!$T:$T,$D6)</f>
        <v/>
      </c>
      <c r="G6" s="6">
        <f>SUMIFS(Bookings!$S:$S,Bookings!$U:$U,$B$15,Bookings!$T:$T,$D6)</f>
        <v/>
      </c>
      <c r="H6" s="7">
        <f>IF(F6&gt;0,E6/F6,"")</f>
        <v/>
      </c>
      <c r="I6" s="1" t="n"/>
      <c r="J6" s="1" t="n"/>
      <c r="K6" s="1" t="n"/>
      <c r="L6" s="1" t="n"/>
    </row>
    <row r="7" ht="14.4" customHeight="1" s="15">
      <c r="A7" s="9" t="inlineStr">
        <is>
          <t>Net income after ALL costs (€)</t>
        </is>
      </c>
      <c r="B7" s="7">
        <f>B4-B5-B6</f>
        <v/>
      </c>
      <c r="D7" s="4" t="n">
        <v>6</v>
      </c>
      <c r="E7" s="6">
        <f>SUMIFS(Bookings!$M:$M,Bookings!$U:$U,$B$15,Bookings!$T:$T,$D7)</f>
        <v/>
      </c>
      <c r="F7" s="6">
        <f>SUMIFS(Bookings!$L:$L,Bookings!$U:$U,$B$15,Bookings!$T:$T,$D7)</f>
        <v/>
      </c>
      <c r="G7" s="6">
        <f>SUMIFS(Bookings!$S:$S,Bookings!$U:$U,$B$15,Bookings!$T:$T,$D7)</f>
        <v/>
      </c>
      <c r="H7" s="7">
        <f>IF(F7&gt;0,E7/F7,"")</f>
        <v/>
      </c>
      <c r="I7" s="1" t="n"/>
      <c r="J7" s="1" t="n"/>
      <c r="K7" s="1" t="n"/>
      <c r="L7" s="1" t="n"/>
    </row>
    <row r="8" ht="14.4" customHeight="1" s="15">
      <c r="A8" s="8" t="n"/>
      <c r="B8" s="1" t="n"/>
      <c r="D8" s="4" t="n">
        <v>7</v>
      </c>
      <c r="E8" s="6">
        <f>SUMIFS(Bookings!$M:$M,Bookings!$U:$U,$B$15,Bookings!$T:$T,$D8)</f>
        <v/>
      </c>
      <c r="F8" s="6">
        <f>SUMIFS(Bookings!$L:$L,Bookings!$U:$U,$B$15,Bookings!$T:$T,$D8)</f>
        <v/>
      </c>
      <c r="G8" s="6">
        <f>SUMIFS(Bookings!$S:$S,Bookings!$U:$U,$B$15,Bookings!$T:$T,$D8)</f>
        <v/>
      </c>
      <c r="H8" s="7">
        <f>IF(F8&gt;0,E8/F8,"")</f>
        <v/>
      </c>
      <c r="I8" s="1" t="n"/>
      <c r="J8" s="1" t="n"/>
      <c r="K8" s="1" t="n"/>
      <c r="L8" s="1" t="n"/>
    </row>
    <row r="9" ht="14.4" customHeight="1" s="15">
      <c r="A9" s="9" t="inlineStr">
        <is>
          <t>Average price per night (€)</t>
        </is>
      </c>
      <c r="B9" s="7">
        <f>IF(B3&gt;0,B4/B3,"")</f>
        <v/>
      </c>
      <c r="D9" s="4" t="n">
        <v>8</v>
      </c>
      <c r="E9" s="6">
        <f>SUMIFS(Bookings!$M:$M,Bookings!$U:$U,$B$15,Bookings!$T:$T,$D9)</f>
        <v/>
      </c>
      <c r="F9" s="6">
        <f>SUMIFS(Bookings!$L:$L,Bookings!$U:$U,$B$15,Bookings!$T:$T,$D9)</f>
        <v/>
      </c>
      <c r="G9" s="6">
        <f>SUMIFS(Bookings!$S:$S,Bookings!$U:$U,$B$15,Bookings!$T:$T,$D9)</f>
        <v/>
      </c>
      <c r="H9" s="7">
        <f>IF(F9&gt;0,E9/F9,"")</f>
        <v/>
      </c>
      <c r="I9" s="1" t="n"/>
      <c r="J9" s="1" t="n"/>
      <c r="K9" s="1" t="n"/>
      <c r="L9" s="1" t="n"/>
    </row>
    <row r="10" ht="14.4" customHeight="1" s="15">
      <c r="A10" s="9" t="inlineStr">
        <is>
          <t>Total rented nights</t>
        </is>
      </c>
      <c r="B10" s="6">
        <f>B3</f>
        <v/>
      </c>
      <c r="D10" s="4" t="n">
        <v>9</v>
      </c>
      <c r="E10" s="6">
        <f>SUMIFS(Bookings!$M:$M,Bookings!$U:$U,$B$15,Bookings!$T:$T,$D10)</f>
        <v/>
      </c>
      <c r="F10" s="6">
        <f>SUMIFS(Bookings!$L:$L,Bookings!$U:$U,$B$15,Bookings!$T:$T,$D10)</f>
        <v/>
      </c>
      <c r="G10" s="6">
        <f>SUMIFS(Bookings!$S:$S,Bookings!$U:$U,$B$15,Bookings!$T:$T,$D10)</f>
        <v/>
      </c>
      <c r="H10" s="7">
        <f>IF(F10&gt;0,E10/F10,"")</f>
        <v/>
      </c>
      <c r="I10" s="1" t="n"/>
      <c r="J10" s="1" t="n"/>
      <c r="K10" s="1" t="n"/>
      <c r="L10" s="1" t="n"/>
    </row>
    <row r="11" ht="14.4" customHeight="1" s="15">
      <c r="A11" s="9" t="inlineStr">
        <is>
          <t>Approx. months rented (nights / 30)</t>
        </is>
      </c>
      <c r="B11" s="7">
        <f>IF(B3&gt;0,B3/30,"")</f>
        <v/>
      </c>
      <c r="D11" s="4" t="n">
        <v>10</v>
      </c>
      <c r="E11" s="6">
        <f>SUMIFS(Bookings!$M:$M,Bookings!$U:$U,$B$15,Bookings!$T:$T,$D11)</f>
        <v/>
      </c>
      <c r="F11" s="6">
        <f>SUMIFS(Bookings!$L:$L,Bookings!$U:$U,$B$15,Bookings!$T:$T,$D11)</f>
        <v/>
      </c>
      <c r="G11" s="6">
        <f>SUMIFS(Bookings!$S:$S,Bookings!$U:$U,$B$15,Bookings!$T:$T,$D11)</f>
        <v/>
      </c>
      <c r="H11" s="7">
        <f>IF(F11&gt;0,E11/F11,"")</f>
        <v/>
      </c>
      <c r="I11" s="1" t="n"/>
      <c r="J11" s="1" t="n"/>
      <c r="K11" s="1" t="n"/>
      <c r="L11" s="1" t="n"/>
    </row>
    <row r="12" ht="14.4" customHeight="1" s="15">
      <c r="A12" s="9" t="inlineStr">
        <is>
          <t>Average revenue per month (€)</t>
        </is>
      </c>
      <c r="B12" s="7">
        <f>IF(B11&gt;0,B4/B11,"")</f>
        <v/>
      </c>
      <c r="D12" s="4" t="n">
        <v>11</v>
      </c>
      <c r="E12" s="6">
        <f>SUMIFS(Bookings!$M:$M,Bookings!$U:$U,$B$15,Bookings!$T:$T,$D12)</f>
        <v/>
      </c>
      <c r="F12" s="6">
        <f>SUMIFS(Bookings!$L:$L,Bookings!$U:$U,$B$15,Bookings!$T:$T,$D12)</f>
        <v/>
      </c>
      <c r="G12" s="6">
        <f>SUMIFS(Bookings!$S:$S,Bookings!$U:$U,$B$15,Bookings!$T:$T,$D12)</f>
        <v/>
      </c>
      <c r="H12" s="7">
        <f>IF(F12&gt;0,E12/F12,"")</f>
        <v/>
      </c>
      <c r="I12" s="1" t="n"/>
      <c r="J12" s="1" t="n"/>
      <c r="K12" s="1" t="n"/>
      <c r="L12" s="1" t="n"/>
    </row>
    <row r="13" ht="14.4" customHeight="1" s="15">
      <c r="A13" s="8" t="n"/>
      <c r="B13" s="1" t="n"/>
      <c r="D13" s="4" t="n">
        <v>12</v>
      </c>
      <c r="E13" s="6">
        <f>SUMIFS(Bookings!$M:$M,Bookings!$U:$U,$B$15,Bookings!$T:$T,$D13)</f>
        <v/>
      </c>
      <c r="F13" s="6">
        <f>SUMIFS(Bookings!$L:$L,Bookings!$U:$U,$B$15,Bookings!$T:$T,$D13)</f>
        <v/>
      </c>
      <c r="G13" s="6">
        <f>SUMIFS(Bookings!$S:$S,Bookings!$U:$U,$B$15,Bookings!$T:$T,$D13)</f>
        <v/>
      </c>
      <c r="H13" s="7">
        <f>IF(F13&gt;0,E13/F13,"")</f>
        <v/>
      </c>
      <c r="I13" s="1" t="n"/>
      <c r="J13" s="1" t="n"/>
      <c r="K13" s="1" t="n"/>
      <c r="L13" s="1" t="n"/>
    </row>
    <row r="14" ht="14.4" customHeight="1" s="15">
      <c r="A14" s="8" t="n"/>
      <c r="B14" s="1" t="n"/>
      <c r="D14" s="1" t="n"/>
      <c r="E14" s="1" t="n"/>
      <c r="F14" s="1" t="n"/>
      <c r="G14" s="1" t="n"/>
      <c r="H14" s="10" t="n"/>
      <c r="I14" s="1" t="n"/>
      <c r="J14" s="1" t="n"/>
      <c r="K14" s="1" t="n"/>
      <c r="L14" s="1" t="n"/>
    </row>
    <row r="15" ht="14.4" customHeight="1" s="15">
      <c r="A15" s="9" t="inlineStr">
        <is>
          <t>Year for monthly overview:</t>
        </is>
      </c>
      <c r="B15" s="6" t="n">
        <v>2025</v>
      </c>
      <c r="D15" s="1" t="n"/>
      <c r="E15" s="1" t="n"/>
      <c r="F15" s="1" t="n"/>
      <c r="G15" s="1" t="n"/>
      <c r="H15" s="10" t="n"/>
      <c r="I15" s="1" t="n"/>
      <c r="J15" s="1" t="n"/>
      <c r="K15" s="1" t="n"/>
      <c r="L15" s="1" t="n"/>
    </row>
    <row r="16" ht="14.4" customHeight="1" s="15">
      <c r="B16" s="1" t="n"/>
      <c r="D16" s="1" t="n"/>
      <c r="E16" s="1" t="n"/>
      <c r="F16" s="1" t="n"/>
      <c r="G16" s="1" t="n"/>
      <c r="H16" s="10" t="n"/>
      <c r="I16" s="1" t="n"/>
      <c r="J16" s="1" t="n"/>
      <c r="K16" s="1" t="n"/>
      <c r="L16" s="1" t="n"/>
    </row>
    <row r="17" ht="14.4" customHeight="1" s="15">
      <c r="B17" s="1" t="n"/>
      <c r="D17" s="3" t="n"/>
      <c r="E17" s="4" t="inlineStr">
        <is>
          <t>Reservations count</t>
        </is>
      </c>
      <c r="F17" s="4" t="inlineStr">
        <is>
          <t>Total Nights</t>
        </is>
      </c>
      <c r="G17" s="4" t="inlineStr">
        <is>
          <t>Total revenue (€)</t>
        </is>
      </c>
      <c r="H17" s="4" t="inlineStr">
        <is>
          <t>Total variable costs (€)</t>
        </is>
      </c>
      <c r="I17" s="4" t="inlineStr">
        <is>
          <t>Net income without Fixed costs</t>
        </is>
      </c>
      <c r="J17" s="4" t="inlineStr">
        <is>
          <t>Average price per night (€)</t>
        </is>
      </c>
      <c r="K17" s="4" t="inlineStr">
        <is>
          <t>Approx. months rented (nights / 30)</t>
        </is>
      </c>
      <c r="L17" s="4" t="inlineStr">
        <is>
          <t>Average revenue per month (€)</t>
        </is>
      </c>
    </row>
    <row r="18" ht="14.4" customHeight="1" s="15">
      <c r="B18" s="1" t="n"/>
      <c r="D18" s="4" t="inlineStr">
        <is>
          <t>Airbnb</t>
        </is>
      </c>
      <c r="E18" s="6">
        <f>COUNTIF(Bookings!$K:$K,"Airbnb")</f>
        <v/>
      </c>
      <c r="F18" s="6">
        <f>SUMIFS(Bookings!L:L, Bookings!K:K, "Airbnb")</f>
        <v/>
      </c>
      <c r="G18" s="6">
        <f>SUMIFS(Bookings!M:M, Bookings!K:K, "Airbnb")</f>
        <v/>
      </c>
      <c r="H18" s="6">
        <f>SUMIFS(Bookings!R:R, Bookings!K:K, "Airbnb")</f>
        <v/>
      </c>
      <c r="I18" s="6">
        <f>SUM(G18-H18)</f>
        <v/>
      </c>
      <c r="J18" s="7">
        <f>IF(F18&gt;0,G18/F18,"")</f>
        <v/>
      </c>
      <c r="K18" s="7">
        <f>IF(F18&gt;0,F18/30,"")</f>
        <v/>
      </c>
      <c r="L18" s="7">
        <f>IF(K18&gt;0,G18/K18,"")</f>
        <v/>
      </c>
    </row>
    <row r="19" ht="14.4" customHeight="1" s="15">
      <c r="A19" s="11" t="inlineStr">
        <is>
          <t xml:space="preserve">Average stay </t>
        </is>
      </c>
      <c r="B19" s="12">
        <f>SUM(B3/B2)</f>
        <v/>
      </c>
      <c r="D19" s="4" t="inlineStr">
        <is>
          <t>Booking</t>
        </is>
      </c>
      <c r="E19" s="6">
        <f>COUNTIF(Bookings!$K:$K,"Booking")</f>
        <v/>
      </c>
      <c r="F19" s="6">
        <f>SUMIFS(Bookings!L:L, Bookings!K:K, "Booking")</f>
        <v/>
      </c>
      <c r="G19" s="6">
        <f>SUMIFS(Bookings!M:M, Bookings!K:K, "Booking")</f>
        <v/>
      </c>
      <c r="H19" s="6">
        <f>SUMIFS(Bookings!R:R, Bookings!K:K, "Booking")</f>
        <v/>
      </c>
      <c r="I19" s="6">
        <f>SUM(G19-H19)</f>
        <v/>
      </c>
      <c r="J19" s="7">
        <f>IF(F19&gt;0,G19/F19,"")</f>
        <v/>
      </c>
      <c r="K19" s="7">
        <f>IF(F19&gt;0,F19/30,"")</f>
        <v/>
      </c>
      <c r="L19" s="7">
        <f>IF(K19&gt;0,G19/K19,"")</f>
        <v/>
      </c>
    </row>
    <row r="20" ht="14.4" customHeight="1" s="15">
      <c r="B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15.75" customHeight="1" s="15">
      <c r="B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15">
      <c r="B22" s="1" t="n"/>
      <c r="D22" s="3" t="inlineStr">
        <is>
          <t>Sofa Bed used</t>
        </is>
      </c>
      <c r="E22" s="6">
        <f>COUNTIF(Bookings!H:H,"Yes")</f>
        <v/>
      </c>
      <c r="F22" s="1" t="n"/>
      <c r="G22" s="1" t="n"/>
      <c r="H22" s="1" t="n"/>
      <c r="I22" s="1" t="n"/>
      <c r="J22" s="1" t="n"/>
      <c r="K22" s="1" t="n"/>
      <c r="L22" s="1" t="n"/>
    </row>
    <row r="23" ht="15.75" customHeight="1" s="15">
      <c r="B23" s="1" t="n"/>
      <c r="D23" s="3" t="inlineStr">
        <is>
          <t>Baby Crib used</t>
        </is>
      </c>
      <c r="E23" s="6">
        <f>COUNTIF(Bookings!I:I,"Yes")</f>
        <v/>
      </c>
      <c r="F23" s="1" t="n"/>
      <c r="G23" s="1" t="n"/>
      <c r="H23" s="1" t="n"/>
      <c r="I23" s="1" t="n"/>
      <c r="J23" s="1" t="n"/>
      <c r="K23" s="1" t="n"/>
      <c r="L23" s="1" t="n"/>
    </row>
    <row r="24" ht="15.75" customHeight="1" s="15">
      <c r="B24" s="1" t="n"/>
      <c r="D24" s="3" t="inlineStr">
        <is>
          <t>Parking used</t>
        </is>
      </c>
      <c r="E24" s="6">
        <f>COUNTIF(Bookings!J:J,"Yes")</f>
        <v/>
      </c>
      <c r="F24" s="1" t="n"/>
      <c r="G24" s="1" t="n"/>
      <c r="H24" s="1" t="n"/>
      <c r="I24" s="1" t="n"/>
      <c r="J24" s="1" t="n"/>
      <c r="K24" s="1" t="n"/>
      <c r="L24" s="1" t="n"/>
    </row>
    <row r="25" ht="15.75" customHeight="1" s="15">
      <c r="B25" s="1" t="n"/>
      <c r="E25" s="13" t="n"/>
    </row>
    <row r="26" ht="15.75" customHeight="1" s="15">
      <c r="B26" s="1" t="n"/>
      <c r="E26" s="13" t="n"/>
    </row>
    <row r="27" ht="15.75" customHeight="1" s="15">
      <c r="B27" s="1" t="n"/>
      <c r="E27" s="13" t="n"/>
    </row>
    <row r="28" ht="15.75" customHeight="1" s="15">
      <c r="B28" s="1" t="n"/>
      <c r="E28" s="13" t="n"/>
    </row>
    <row r="29" ht="15.75" customHeight="1" s="15">
      <c r="B29" s="1" t="n"/>
      <c r="E29" s="13" t="n"/>
    </row>
    <row r="30" ht="15.75" customHeight="1" s="15">
      <c r="B30" s="1" t="n"/>
      <c r="E30" s="13" t="n"/>
    </row>
    <row r="31" ht="15.75" customHeight="1" s="15">
      <c r="B31" s="1" t="n"/>
      <c r="E31" s="13" t="n"/>
    </row>
    <row r="32" ht="15.75" customHeight="1" s="15">
      <c r="B32" s="1" t="n"/>
      <c r="E32" s="13" t="n"/>
    </row>
    <row r="33" ht="15.75" customHeight="1" s="15">
      <c r="B33" s="1" t="n"/>
      <c r="E33" s="13" t="n"/>
    </row>
    <row r="34" ht="15.75" customHeight="1" s="15">
      <c r="B34" s="1" t="n"/>
      <c r="E34" s="13" t="n"/>
    </row>
    <row r="35" ht="15.75" customHeight="1" s="15">
      <c r="B35" s="1" t="n"/>
      <c r="E35" s="13" t="n"/>
    </row>
    <row r="36" ht="15.75" customHeight="1" s="15">
      <c r="B36" s="1" t="n"/>
      <c r="E36" s="13" t="n"/>
    </row>
    <row r="37" ht="15.75" customHeight="1" s="15">
      <c r="B37" s="1" t="n"/>
      <c r="E37" s="13" t="n"/>
    </row>
    <row r="38" ht="15.75" customHeight="1" s="15">
      <c r="B38" s="1" t="n"/>
      <c r="E38" s="13" t="n"/>
    </row>
    <row r="39" ht="15.75" customHeight="1" s="15">
      <c r="B39" s="1" t="n"/>
      <c r="E39" s="13" t="n"/>
    </row>
    <row r="40" ht="15.75" customHeight="1" s="15">
      <c r="B40" s="1" t="n"/>
      <c r="E40" s="13" t="n"/>
    </row>
    <row r="41" ht="15.75" customHeight="1" s="15">
      <c r="B41" s="1" t="n"/>
      <c r="E41" s="13" t="n"/>
    </row>
    <row r="42" ht="15.75" customHeight="1" s="15">
      <c r="B42" s="1" t="n"/>
      <c r="E42" s="13" t="n"/>
    </row>
    <row r="43" ht="15.75" customHeight="1" s="15">
      <c r="B43" s="1" t="n"/>
      <c r="E43" s="13" t="n"/>
    </row>
    <row r="44" ht="15.75" customHeight="1" s="15">
      <c r="B44" s="1" t="n"/>
      <c r="E44" s="13" t="n"/>
    </row>
    <row r="45" ht="15.75" customHeight="1" s="15">
      <c r="B45" s="1" t="n"/>
      <c r="E45" s="13" t="n"/>
    </row>
    <row r="46" ht="15.75" customHeight="1" s="15">
      <c r="B46" s="1" t="n"/>
      <c r="E46" s="13" t="n"/>
    </row>
    <row r="47" ht="15.75" customHeight="1" s="15">
      <c r="B47" s="1" t="n"/>
      <c r="E47" s="13" t="n"/>
    </row>
    <row r="48" ht="15.75" customHeight="1" s="15">
      <c r="B48" s="1" t="n"/>
      <c r="E48" s="13" t="n"/>
    </row>
    <row r="49" ht="15.75" customHeight="1" s="15">
      <c r="B49" s="1" t="n"/>
      <c r="E49" s="13" t="n"/>
    </row>
    <row r="50" ht="15.75" customHeight="1" s="15">
      <c r="B50" s="1" t="n"/>
      <c r="E50" s="13" t="n"/>
    </row>
    <row r="51" ht="15.75" customHeight="1" s="15">
      <c r="B51" s="1" t="n"/>
      <c r="E51" s="13" t="n"/>
    </row>
    <row r="52" ht="15.75" customHeight="1" s="15">
      <c r="B52" s="1" t="n"/>
      <c r="E52" s="13" t="n"/>
    </row>
    <row r="53" ht="15.75" customHeight="1" s="15">
      <c r="B53" s="1" t="n"/>
      <c r="E53" s="13" t="n"/>
    </row>
    <row r="54" ht="15.75" customHeight="1" s="15">
      <c r="B54" s="1" t="n"/>
      <c r="E54" s="13" t="n"/>
    </row>
    <row r="55" ht="15.75" customHeight="1" s="15">
      <c r="B55" s="1" t="n"/>
      <c r="E55" s="13" t="n"/>
    </row>
    <row r="56" ht="15.75" customHeight="1" s="15">
      <c r="B56" s="1" t="n"/>
      <c r="E56" s="13" t="n"/>
    </row>
    <row r="57" ht="15.75" customHeight="1" s="15">
      <c r="B57" s="1" t="n"/>
      <c r="E57" s="13" t="n"/>
    </row>
    <row r="58" ht="15.75" customHeight="1" s="15">
      <c r="B58" s="1" t="n"/>
      <c r="E58" s="13" t="n"/>
    </row>
    <row r="59" ht="15.75" customHeight="1" s="15">
      <c r="B59" s="1" t="n"/>
      <c r="E59" s="13" t="n"/>
    </row>
    <row r="60" ht="15.75" customHeight="1" s="15">
      <c r="B60" s="1" t="n"/>
      <c r="E60" s="13" t="n"/>
    </row>
    <row r="61" ht="15.75" customHeight="1" s="15">
      <c r="B61" s="1" t="n"/>
      <c r="E61" s="13" t="n"/>
    </row>
    <row r="62" ht="15.75" customHeight="1" s="15">
      <c r="B62" s="1" t="n"/>
      <c r="E62" s="13" t="n"/>
    </row>
    <row r="63" ht="15.75" customHeight="1" s="15">
      <c r="B63" s="1" t="n"/>
      <c r="E63" s="13" t="n"/>
    </row>
    <row r="64" ht="15.75" customHeight="1" s="15">
      <c r="B64" s="1" t="n"/>
      <c r="E64" s="13" t="n"/>
    </row>
    <row r="65" ht="15.75" customHeight="1" s="15">
      <c r="B65" s="1" t="n"/>
      <c r="E65" s="13" t="n"/>
    </row>
    <row r="66" ht="15.75" customHeight="1" s="15">
      <c r="B66" s="1" t="n"/>
      <c r="E66" s="13" t="n"/>
    </row>
    <row r="67" ht="15.75" customHeight="1" s="15">
      <c r="B67" s="1" t="n"/>
      <c r="E67" s="13" t="n"/>
    </row>
    <row r="68" ht="15.75" customHeight="1" s="15">
      <c r="B68" s="1" t="n"/>
      <c r="E68" s="13" t="n"/>
    </row>
    <row r="69" ht="15.75" customHeight="1" s="15">
      <c r="B69" s="1" t="n"/>
      <c r="E69" s="13" t="n"/>
    </row>
    <row r="70" ht="15.75" customHeight="1" s="15">
      <c r="B70" s="1" t="n"/>
      <c r="E70" s="13" t="n"/>
    </row>
    <row r="71" ht="15.75" customHeight="1" s="15">
      <c r="B71" s="1" t="n"/>
      <c r="E71" s="13" t="n"/>
    </row>
    <row r="72" ht="15.75" customHeight="1" s="15">
      <c r="B72" s="1" t="n"/>
      <c r="E72" s="13" t="n"/>
    </row>
    <row r="73" ht="15.75" customHeight="1" s="15">
      <c r="B73" s="1" t="n"/>
      <c r="E73" s="13" t="n"/>
    </row>
    <row r="74" ht="15.75" customHeight="1" s="15">
      <c r="B74" s="1" t="n"/>
      <c r="E74" s="13" t="n"/>
    </row>
    <row r="75" ht="15.75" customHeight="1" s="15">
      <c r="B75" s="1" t="n"/>
      <c r="E75" s="13" t="n"/>
    </row>
    <row r="76" ht="15.75" customHeight="1" s="15">
      <c r="B76" s="1" t="n"/>
      <c r="E76" s="13" t="n"/>
    </row>
    <row r="77" ht="15.75" customHeight="1" s="15">
      <c r="B77" s="1" t="n"/>
      <c r="E77" s="13" t="n"/>
    </row>
    <row r="78" ht="15.75" customHeight="1" s="15">
      <c r="B78" s="1" t="n"/>
      <c r="E78" s="13" t="n"/>
    </row>
    <row r="79" ht="15.75" customHeight="1" s="15">
      <c r="B79" s="1" t="n"/>
      <c r="E79" s="13" t="n"/>
    </row>
    <row r="80" ht="15.75" customHeight="1" s="15">
      <c r="B80" s="1" t="n"/>
      <c r="E80" s="13" t="n"/>
    </row>
    <row r="81" ht="15.75" customHeight="1" s="15">
      <c r="B81" s="1" t="n"/>
      <c r="E81" s="13" t="n"/>
    </row>
    <row r="82" ht="15.75" customHeight="1" s="15">
      <c r="B82" s="1" t="n"/>
      <c r="E82" s="13" t="n"/>
    </row>
    <row r="83" ht="15.75" customHeight="1" s="15">
      <c r="B83" s="1" t="n"/>
      <c r="E83" s="13" t="n"/>
    </row>
    <row r="84" ht="15.75" customHeight="1" s="15">
      <c r="B84" s="1" t="n"/>
      <c r="E84" s="13" t="n"/>
    </row>
    <row r="85" ht="15.75" customHeight="1" s="15">
      <c r="B85" s="1" t="n"/>
      <c r="E85" s="13" t="n"/>
    </row>
    <row r="86" ht="15.75" customHeight="1" s="15">
      <c r="B86" s="1" t="n"/>
      <c r="E86" s="13" t="n"/>
    </row>
    <row r="87" ht="15.75" customHeight="1" s="15">
      <c r="B87" s="1" t="n"/>
      <c r="E87" s="13" t="n"/>
    </row>
    <row r="88" ht="15.75" customHeight="1" s="15">
      <c r="B88" s="1" t="n"/>
      <c r="E88" s="13" t="n"/>
    </row>
    <row r="89" ht="15.75" customHeight="1" s="15">
      <c r="B89" s="1" t="n"/>
      <c r="E89" s="13" t="n"/>
    </row>
    <row r="90" ht="15.75" customHeight="1" s="15">
      <c r="B90" s="1" t="n"/>
      <c r="E90" s="13" t="n"/>
    </row>
    <row r="91" ht="15.75" customHeight="1" s="15">
      <c r="B91" s="1" t="n"/>
      <c r="E91" s="13" t="n"/>
    </row>
    <row r="92" ht="15.75" customHeight="1" s="15">
      <c r="B92" s="1" t="n"/>
      <c r="E92" s="13" t="n"/>
    </row>
    <row r="93" ht="15.75" customHeight="1" s="15">
      <c r="B93" s="1" t="n"/>
      <c r="E93" s="13" t="n"/>
    </row>
    <row r="94" ht="15.75" customHeight="1" s="15">
      <c r="B94" s="1" t="n"/>
      <c r="E94" s="13" t="n"/>
    </row>
    <row r="95" ht="15.75" customHeight="1" s="15">
      <c r="B95" s="1" t="n"/>
      <c r="E95" s="13" t="n"/>
    </row>
    <row r="96" ht="15.75" customHeight="1" s="15">
      <c r="B96" s="1" t="n"/>
      <c r="E96" s="13" t="n"/>
    </row>
    <row r="97" ht="15.75" customHeight="1" s="15">
      <c r="B97" s="1" t="n"/>
      <c r="E97" s="13" t="n"/>
    </row>
    <row r="98" ht="15.75" customHeight="1" s="15">
      <c r="B98" s="1" t="n"/>
      <c r="E98" s="13" t="n"/>
    </row>
    <row r="99" ht="15.75" customHeight="1" s="15">
      <c r="B99" s="1" t="n"/>
      <c r="E99" s="13" t="n"/>
    </row>
    <row r="100" ht="15.75" customHeight="1" s="15">
      <c r="B100" s="1" t="n"/>
      <c r="E100" s="13" t="n"/>
    </row>
    <row r="101" ht="15.75" customHeight="1" s="15">
      <c r="B101" s="1" t="n"/>
      <c r="E101" s="13" t="n"/>
    </row>
    <row r="102" ht="15.75" customHeight="1" s="15">
      <c r="B102" s="1" t="n"/>
      <c r="E102" s="13" t="n"/>
    </row>
    <row r="103" ht="15.75" customHeight="1" s="15">
      <c r="B103" s="1" t="n"/>
      <c r="E103" s="13" t="n"/>
    </row>
    <row r="104" ht="15.75" customHeight="1" s="15">
      <c r="B104" s="1" t="n"/>
      <c r="E104" s="13" t="n"/>
    </row>
    <row r="105" ht="15.75" customHeight="1" s="15">
      <c r="B105" s="1" t="n"/>
      <c r="E105" s="13" t="n"/>
    </row>
    <row r="106" ht="15.75" customHeight="1" s="15">
      <c r="B106" s="1" t="n"/>
      <c r="E106" s="13" t="n"/>
    </row>
    <row r="107" ht="15.75" customHeight="1" s="15">
      <c r="B107" s="1" t="n"/>
      <c r="E107" s="13" t="n"/>
    </row>
    <row r="108" ht="15.75" customHeight="1" s="15">
      <c r="B108" s="1" t="n"/>
      <c r="E108" s="13" t="n"/>
    </row>
    <row r="109" ht="15.75" customHeight="1" s="15">
      <c r="B109" s="1" t="n"/>
      <c r="E109" s="13" t="n"/>
    </row>
    <row r="110" ht="15.75" customHeight="1" s="15">
      <c r="B110" s="1" t="n"/>
      <c r="E110" s="13" t="n"/>
    </row>
    <row r="111" ht="15.75" customHeight="1" s="15">
      <c r="B111" s="1" t="n"/>
      <c r="E111" s="13" t="n"/>
    </row>
    <row r="112" ht="15.75" customHeight="1" s="15">
      <c r="B112" s="1" t="n"/>
      <c r="E112" s="13" t="n"/>
    </row>
    <row r="113" ht="15.75" customHeight="1" s="15">
      <c r="B113" s="1" t="n"/>
      <c r="E113" s="13" t="n"/>
    </row>
    <row r="114" ht="15.75" customHeight="1" s="15">
      <c r="B114" s="1" t="n"/>
      <c r="E114" s="13" t="n"/>
    </row>
    <row r="115" ht="15.75" customHeight="1" s="15">
      <c r="B115" s="1" t="n"/>
      <c r="E115" s="13" t="n"/>
    </row>
    <row r="116" ht="15.75" customHeight="1" s="15">
      <c r="B116" s="1" t="n"/>
      <c r="E116" s="13" t="n"/>
    </row>
    <row r="117" ht="15.75" customHeight="1" s="15">
      <c r="B117" s="1" t="n"/>
      <c r="E117" s="13" t="n"/>
    </row>
    <row r="118" ht="15.75" customHeight="1" s="15">
      <c r="B118" s="1" t="n"/>
      <c r="E118" s="13" t="n"/>
    </row>
    <row r="119" ht="15.75" customHeight="1" s="15">
      <c r="B119" s="1" t="n"/>
      <c r="E119" s="13" t="n"/>
    </row>
    <row r="120" ht="15.75" customHeight="1" s="15">
      <c r="B120" s="1" t="n"/>
      <c r="E120" s="13" t="n"/>
    </row>
    <row r="121" ht="15.75" customHeight="1" s="15">
      <c r="B121" s="1" t="n"/>
      <c r="E121" s="13" t="n"/>
    </row>
    <row r="122" ht="15.75" customHeight="1" s="15">
      <c r="B122" s="1" t="n"/>
      <c r="E122" s="13" t="n"/>
    </row>
    <row r="123" ht="15.75" customHeight="1" s="15">
      <c r="B123" s="1" t="n"/>
      <c r="E123" s="13" t="n"/>
    </row>
    <row r="124" ht="15.75" customHeight="1" s="15">
      <c r="B124" s="1" t="n"/>
      <c r="E124" s="13" t="n"/>
    </row>
    <row r="125" ht="15.75" customHeight="1" s="15">
      <c r="B125" s="1" t="n"/>
      <c r="E125" s="13" t="n"/>
    </row>
    <row r="126" ht="15.75" customHeight="1" s="15">
      <c r="B126" s="1" t="n"/>
      <c r="E126" s="13" t="n"/>
    </row>
    <row r="127" ht="15.75" customHeight="1" s="15">
      <c r="B127" s="1" t="n"/>
      <c r="E127" s="13" t="n"/>
    </row>
    <row r="128" ht="15.75" customHeight="1" s="15">
      <c r="B128" s="1" t="n"/>
      <c r="E128" s="13" t="n"/>
    </row>
    <row r="129" ht="15.75" customHeight="1" s="15">
      <c r="B129" s="1" t="n"/>
      <c r="E129" s="13" t="n"/>
    </row>
    <row r="130" ht="15.75" customHeight="1" s="15">
      <c r="B130" s="1" t="n"/>
      <c r="E130" s="13" t="n"/>
    </row>
    <row r="131" ht="15.75" customHeight="1" s="15">
      <c r="B131" s="1" t="n"/>
      <c r="E131" s="13" t="n"/>
    </row>
    <row r="132" ht="15.75" customHeight="1" s="15">
      <c r="B132" s="1" t="n"/>
      <c r="E132" s="13" t="n"/>
    </row>
    <row r="133" ht="15.75" customHeight="1" s="15">
      <c r="B133" s="1" t="n"/>
      <c r="E133" s="13" t="n"/>
    </row>
    <row r="134" ht="15.75" customHeight="1" s="15">
      <c r="B134" s="1" t="n"/>
      <c r="E134" s="13" t="n"/>
    </row>
    <row r="135" ht="15.75" customHeight="1" s="15">
      <c r="B135" s="1" t="n"/>
      <c r="E135" s="13" t="n"/>
    </row>
    <row r="136" ht="15.75" customHeight="1" s="15">
      <c r="B136" s="1" t="n"/>
      <c r="E136" s="13" t="n"/>
    </row>
    <row r="137" ht="15.75" customHeight="1" s="15">
      <c r="B137" s="1" t="n"/>
      <c r="E137" s="13" t="n"/>
    </row>
    <row r="138" ht="15.75" customHeight="1" s="15">
      <c r="B138" s="1" t="n"/>
      <c r="E138" s="13" t="n"/>
    </row>
    <row r="139" ht="15.75" customHeight="1" s="15">
      <c r="B139" s="1" t="n"/>
      <c r="E139" s="13" t="n"/>
    </row>
    <row r="140" ht="15.75" customHeight="1" s="15">
      <c r="B140" s="1" t="n"/>
      <c r="E140" s="13" t="n"/>
    </row>
    <row r="141" ht="15.75" customHeight="1" s="15">
      <c r="B141" s="1" t="n"/>
      <c r="E141" s="13" t="n"/>
    </row>
    <row r="142" ht="15.75" customHeight="1" s="15">
      <c r="B142" s="1" t="n"/>
      <c r="E142" s="13" t="n"/>
    </row>
    <row r="143" ht="15.75" customHeight="1" s="15">
      <c r="B143" s="1" t="n"/>
      <c r="E143" s="13" t="n"/>
    </row>
    <row r="144" ht="15.75" customHeight="1" s="15">
      <c r="B144" s="1" t="n"/>
      <c r="E144" s="13" t="n"/>
    </row>
    <row r="145" ht="15.75" customHeight="1" s="15">
      <c r="B145" s="1" t="n"/>
      <c r="E145" s="13" t="n"/>
    </row>
    <row r="146" ht="15.75" customHeight="1" s="15">
      <c r="B146" s="1" t="n"/>
      <c r="E146" s="13" t="n"/>
    </row>
    <row r="147" ht="15.75" customHeight="1" s="15">
      <c r="B147" s="1" t="n"/>
      <c r="E147" s="13" t="n"/>
    </row>
    <row r="148" ht="15.75" customHeight="1" s="15">
      <c r="B148" s="1" t="n"/>
      <c r="E148" s="13" t="n"/>
    </row>
    <row r="149" ht="15.75" customHeight="1" s="15">
      <c r="B149" s="1" t="n"/>
      <c r="E149" s="13" t="n"/>
    </row>
    <row r="150" ht="15.75" customHeight="1" s="15">
      <c r="B150" s="1" t="n"/>
      <c r="E150" s="13" t="n"/>
    </row>
    <row r="151" ht="15.75" customHeight="1" s="15">
      <c r="B151" s="1" t="n"/>
      <c r="E151" s="13" t="n"/>
    </row>
    <row r="152" ht="15.75" customHeight="1" s="15">
      <c r="B152" s="1" t="n"/>
      <c r="E152" s="13" t="n"/>
    </row>
    <row r="153" ht="15.75" customHeight="1" s="15">
      <c r="B153" s="1" t="n"/>
      <c r="E153" s="13" t="n"/>
    </row>
    <row r="154" ht="15.75" customHeight="1" s="15">
      <c r="B154" s="1" t="n"/>
      <c r="E154" s="13" t="n"/>
    </row>
    <row r="155" ht="15.75" customHeight="1" s="15">
      <c r="B155" s="1" t="n"/>
      <c r="E155" s="13" t="n"/>
    </row>
    <row r="156" ht="15.75" customHeight="1" s="15">
      <c r="B156" s="1" t="n"/>
      <c r="E156" s="13" t="n"/>
    </row>
    <row r="157" ht="15.75" customHeight="1" s="15">
      <c r="B157" s="1" t="n"/>
      <c r="E157" s="13" t="n"/>
    </row>
    <row r="158" ht="15.75" customHeight="1" s="15">
      <c r="B158" s="1" t="n"/>
      <c r="E158" s="13" t="n"/>
    </row>
    <row r="159" ht="15.75" customHeight="1" s="15">
      <c r="B159" s="1" t="n"/>
      <c r="E159" s="13" t="n"/>
    </row>
    <row r="160" ht="15.75" customHeight="1" s="15">
      <c r="B160" s="1" t="n"/>
      <c r="E160" s="13" t="n"/>
    </row>
    <row r="161" ht="15.75" customHeight="1" s="15">
      <c r="B161" s="1" t="n"/>
      <c r="E161" s="13" t="n"/>
    </row>
    <row r="162" ht="15.75" customHeight="1" s="15">
      <c r="B162" s="1" t="n"/>
      <c r="E162" s="13" t="n"/>
    </row>
    <row r="163" ht="15.75" customHeight="1" s="15">
      <c r="B163" s="1" t="n"/>
      <c r="E163" s="13" t="n"/>
    </row>
    <row r="164" ht="15.75" customHeight="1" s="15">
      <c r="B164" s="1" t="n"/>
      <c r="E164" s="13" t="n"/>
    </row>
    <row r="165" ht="15.75" customHeight="1" s="15">
      <c r="B165" s="1" t="n"/>
      <c r="E165" s="13" t="n"/>
    </row>
    <row r="166" ht="15.75" customHeight="1" s="15">
      <c r="B166" s="1" t="n"/>
      <c r="E166" s="13" t="n"/>
    </row>
    <row r="167" ht="15.75" customHeight="1" s="15">
      <c r="B167" s="1" t="n"/>
      <c r="E167" s="13" t="n"/>
    </row>
    <row r="168" ht="15.75" customHeight="1" s="15">
      <c r="B168" s="1" t="n"/>
      <c r="E168" s="13" t="n"/>
    </row>
    <row r="169" ht="15.75" customHeight="1" s="15">
      <c r="B169" s="1" t="n"/>
      <c r="E169" s="13" t="n"/>
    </row>
    <row r="170" ht="15.75" customHeight="1" s="15">
      <c r="B170" s="1" t="n"/>
      <c r="E170" s="13" t="n"/>
    </row>
    <row r="171" ht="15.75" customHeight="1" s="15">
      <c r="B171" s="1" t="n"/>
      <c r="E171" s="13" t="n"/>
    </row>
    <row r="172" ht="15.75" customHeight="1" s="15">
      <c r="B172" s="1" t="n"/>
      <c r="E172" s="13" t="n"/>
    </row>
    <row r="173" ht="15.75" customHeight="1" s="15">
      <c r="B173" s="1" t="n"/>
      <c r="E173" s="13" t="n"/>
    </row>
    <row r="174" ht="15.75" customHeight="1" s="15">
      <c r="B174" s="1" t="n"/>
      <c r="E174" s="13" t="n"/>
    </row>
    <row r="175" ht="15.75" customHeight="1" s="15">
      <c r="B175" s="1" t="n"/>
      <c r="E175" s="13" t="n"/>
    </row>
    <row r="176" ht="15.75" customHeight="1" s="15">
      <c r="B176" s="1" t="n"/>
      <c r="E176" s="13" t="n"/>
    </row>
    <row r="177" ht="15.75" customHeight="1" s="15">
      <c r="B177" s="1" t="n"/>
      <c r="E177" s="13" t="n"/>
    </row>
    <row r="178" ht="15.75" customHeight="1" s="15">
      <c r="B178" s="1" t="n"/>
      <c r="E178" s="13" t="n"/>
    </row>
    <row r="179" ht="15.75" customHeight="1" s="15">
      <c r="B179" s="1" t="n"/>
      <c r="E179" s="13" t="n"/>
    </row>
    <row r="180" ht="15.75" customHeight="1" s="15">
      <c r="B180" s="1" t="n"/>
      <c r="E180" s="13" t="n"/>
    </row>
    <row r="181" ht="15.75" customHeight="1" s="15">
      <c r="B181" s="1" t="n"/>
      <c r="E181" s="13" t="n"/>
    </row>
    <row r="182" ht="15.75" customHeight="1" s="15">
      <c r="B182" s="1" t="n"/>
      <c r="E182" s="13" t="n"/>
    </row>
    <row r="183" ht="15.75" customHeight="1" s="15">
      <c r="B183" s="1" t="n"/>
      <c r="E183" s="13" t="n"/>
    </row>
    <row r="184" ht="15.75" customHeight="1" s="15">
      <c r="B184" s="1" t="n"/>
      <c r="E184" s="13" t="n"/>
    </row>
    <row r="185" ht="15.75" customHeight="1" s="15">
      <c r="B185" s="1" t="n"/>
      <c r="E185" s="13" t="n"/>
    </row>
    <row r="186" ht="15.75" customHeight="1" s="15">
      <c r="B186" s="1" t="n"/>
      <c r="E186" s="13" t="n"/>
    </row>
    <row r="187" ht="15.75" customHeight="1" s="15">
      <c r="B187" s="1" t="n"/>
      <c r="E187" s="13" t="n"/>
    </row>
    <row r="188" ht="15.75" customHeight="1" s="15">
      <c r="B188" s="1" t="n"/>
      <c r="E188" s="13" t="n"/>
    </row>
    <row r="189" ht="15.75" customHeight="1" s="15">
      <c r="B189" s="1" t="n"/>
      <c r="E189" s="13" t="n"/>
    </row>
    <row r="190" ht="15.75" customHeight="1" s="15">
      <c r="B190" s="1" t="n"/>
      <c r="E190" s="13" t="n"/>
    </row>
    <row r="191" ht="15.75" customHeight="1" s="15">
      <c r="B191" s="1" t="n"/>
      <c r="E191" s="13" t="n"/>
    </row>
    <row r="192" ht="15.75" customHeight="1" s="15">
      <c r="B192" s="1" t="n"/>
      <c r="E192" s="13" t="n"/>
    </row>
    <row r="193" ht="15.75" customHeight="1" s="15">
      <c r="B193" s="1" t="n"/>
      <c r="E193" s="13" t="n"/>
    </row>
    <row r="194" ht="15.75" customHeight="1" s="15">
      <c r="B194" s="1" t="n"/>
      <c r="E194" s="13" t="n"/>
    </row>
    <row r="195" ht="15.75" customHeight="1" s="15">
      <c r="B195" s="1" t="n"/>
      <c r="E195" s="13" t="n"/>
    </row>
    <row r="196" ht="15.75" customHeight="1" s="15">
      <c r="B196" s="1" t="n"/>
      <c r="E196" s="13" t="n"/>
    </row>
    <row r="197" ht="15.75" customHeight="1" s="15">
      <c r="B197" s="1" t="n"/>
      <c r="E197" s="13" t="n"/>
    </row>
    <row r="198" ht="15.75" customHeight="1" s="15">
      <c r="B198" s="1" t="n"/>
      <c r="E198" s="13" t="n"/>
    </row>
    <row r="199" ht="15.75" customHeight="1" s="15">
      <c r="B199" s="1" t="n"/>
      <c r="E199" s="13" t="n"/>
    </row>
    <row r="200" ht="15.75" customHeight="1" s="15">
      <c r="B200" s="1" t="n"/>
      <c r="E200" s="13" t="n"/>
    </row>
    <row r="201" ht="15.75" customHeight="1" s="15">
      <c r="B201" s="1" t="n"/>
      <c r="E201" s="13" t="n"/>
    </row>
    <row r="202" ht="15.75" customHeight="1" s="15">
      <c r="B202" s="1" t="n"/>
      <c r="E202" s="13" t="n"/>
    </row>
    <row r="203" ht="15.75" customHeight="1" s="15">
      <c r="B203" s="1" t="n"/>
      <c r="E203" s="13" t="n"/>
    </row>
    <row r="204" ht="15.75" customHeight="1" s="15">
      <c r="B204" s="1" t="n"/>
      <c r="E204" s="13" t="n"/>
    </row>
    <row r="205" ht="15.75" customHeight="1" s="15">
      <c r="B205" s="1" t="n"/>
      <c r="E205" s="13" t="n"/>
    </row>
    <row r="206" ht="15.75" customHeight="1" s="15">
      <c r="B206" s="1" t="n"/>
      <c r="E206" s="13" t="n"/>
    </row>
    <row r="207" ht="15.75" customHeight="1" s="15">
      <c r="B207" s="1" t="n"/>
      <c r="E207" s="13" t="n"/>
    </row>
    <row r="208" ht="15.75" customHeight="1" s="15">
      <c r="B208" s="1" t="n"/>
      <c r="E208" s="13" t="n"/>
    </row>
    <row r="209" ht="15.75" customHeight="1" s="15">
      <c r="B209" s="1" t="n"/>
      <c r="E209" s="13" t="n"/>
    </row>
    <row r="210" ht="15.75" customHeight="1" s="15">
      <c r="B210" s="1" t="n"/>
      <c r="E210" s="13" t="n"/>
    </row>
    <row r="211" ht="15.75" customHeight="1" s="15">
      <c r="B211" s="1" t="n"/>
      <c r="E211" s="13" t="n"/>
    </row>
    <row r="212" ht="15.75" customHeight="1" s="15">
      <c r="B212" s="1" t="n"/>
      <c r="E212" s="13" t="n"/>
    </row>
    <row r="213" ht="15.75" customHeight="1" s="15">
      <c r="B213" s="1" t="n"/>
      <c r="E213" s="13" t="n"/>
    </row>
    <row r="214" ht="15.75" customHeight="1" s="15">
      <c r="B214" s="1" t="n"/>
      <c r="E214" s="13" t="n"/>
    </row>
    <row r="215" ht="15.75" customHeight="1" s="15">
      <c r="B215" s="1" t="n"/>
      <c r="E215" s="13" t="n"/>
    </row>
    <row r="216" ht="15.75" customHeight="1" s="15">
      <c r="B216" s="1" t="n"/>
      <c r="E216" s="13" t="n"/>
    </row>
    <row r="217" ht="15.75" customHeight="1" s="15">
      <c r="B217" s="1" t="n"/>
      <c r="E217" s="13" t="n"/>
    </row>
    <row r="218" ht="15.75" customHeight="1" s="15">
      <c r="B218" s="1" t="n"/>
      <c r="E218" s="13" t="n"/>
    </row>
    <row r="219" ht="15.75" customHeight="1" s="15">
      <c r="B219" s="1" t="n"/>
      <c r="E219" s="13" t="n"/>
    </row>
    <row r="220" ht="15.75" customHeight="1" s="15">
      <c r="B220" s="1" t="n"/>
      <c r="E220" s="13" t="n"/>
    </row>
    <row r="221" ht="15.75" customHeight="1" s="15">
      <c r="B221" s="1" t="n"/>
      <c r="E221" s="13" t="n"/>
    </row>
    <row r="222" ht="15.75" customHeight="1" s="15">
      <c r="B222" s="1" t="n"/>
      <c r="E222" s="13" t="n"/>
    </row>
    <row r="223" ht="15.75" customHeight="1" s="15">
      <c r="B223" s="1" t="n"/>
      <c r="E223" s="13" t="n"/>
    </row>
    <row r="224" ht="15.75" customHeight="1" s="15">
      <c r="B224" s="1" t="n"/>
      <c r="E224" s="13" t="n"/>
    </row>
    <row r="225" ht="15.75" customHeight="1" s="15">
      <c r="B225" s="1" t="n"/>
      <c r="E225" s="13" t="n"/>
    </row>
    <row r="226" ht="15.75" customHeight="1" s="15">
      <c r="B226" s="1" t="n"/>
      <c r="E226" s="13" t="n"/>
    </row>
    <row r="227" ht="15.75" customHeight="1" s="15">
      <c r="B227" s="1" t="n"/>
      <c r="E227" s="13" t="n"/>
    </row>
    <row r="228" ht="15.75" customHeight="1" s="15">
      <c r="B228" s="1" t="n"/>
      <c r="E228" s="13" t="n"/>
    </row>
    <row r="229" ht="15.75" customHeight="1" s="15">
      <c r="B229" s="1" t="n"/>
      <c r="E229" s="13" t="n"/>
    </row>
    <row r="230" ht="15.75" customHeight="1" s="15">
      <c r="B230" s="1" t="n"/>
      <c r="E230" s="13" t="n"/>
    </row>
    <row r="231" ht="15.75" customHeight="1" s="15">
      <c r="B231" s="1" t="n"/>
      <c r="E231" s="13" t="n"/>
    </row>
    <row r="232" ht="15.75" customHeight="1" s="15">
      <c r="B232" s="1" t="n"/>
      <c r="E232" s="13" t="n"/>
    </row>
    <row r="233" ht="15.75" customHeight="1" s="15">
      <c r="B233" s="1" t="n"/>
      <c r="E233" s="13" t="n"/>
    </row>
    <row r="234" ht="15.75" customHeight="1" s="15">
      <c r="B234" s="1" t="n"/>
      <c r="E234" s="13" t="n"/>
    </row>
    <row r="235" ht="15.75" customHeight="1" s="15">
      <c r="B235" s="1" t="n"/>
      <c r="E235" s="13" t="n"/>
    </row>
    <row r="236" ht="15.75" customHeight="1" s="15">
      <c r="B236" s="1" t="n"/>
      <c r="E236" s="13" t="n"/>
    </row>
    <row r="237" ht="15.75" customHeight="1" s="15">
      <c r="B237" s="1" t="n"/>
      <c r="E237" s="13" t="n"/>
    </row>
    <row r="238" ht="15.75" customHeight="1" s="15">
      <c r="B238" s="1" t="n"/>
      <c r="E238" s="13" t="n"/>
    </row>
    <row r="239" ht="15.75" customHeight="1" s="15">
      <c r="B239" s="1" t="n"/>
      <c r="E239" s="13" t="n"/>
    </row>
    <row r="240" ht="15.75" customHeight="1" s="15">
      <c r="B240" s="1" t="n"/>
      <c r="E240" s="13" t="n"/>
    </row>
    <row r="241" ht="15.75" customHeight="1" s="15">
      <c r="B241" s="1" t="n"/>
      <c r="E241" s="13" t="n"/>
    </row>
    <row r="242" ht="15.75" customHeight="1" s="15">
      <c r="B242" s="1" t="n"/>
      <c r="E242" s="13" t="n"/>
    </row>
    <row r="243" ht="15.75" customHeight="1" s="15">
      <c r="B243" s="1" t="n"/>
      <c r="E243" s="13" t="n"/>
    </row>
    <row r="244" ht="15.75" customHeight="1" s="15">
      <c r="B244" s="1" t="n"/>
      <c r="E244" s="13" t="n"/>
    </row>
    <row r="245" ht="15.75" customHeight="1" s="15">
      <c r="B245" s="1" t="n"/>
      <c r="E245" s="13" t="n"/>
    </row>
    <row r="246" ht="15.75" customHeight="1" s="15">
      <c r="B246" s="1" t="n"/>
      <c r="E246" s="13" t="n"/>
    </row>
    <row r="247" ht="15.75" customHeight="1" s="15">
      <c r="B247" s="1" t="n"/>
      <c r="E247" s="13" t="n"/>
    </row>
    <row r="248" ht="15.75" customHeight="1" s="15">
      <c r="B248" s="1" t="n"/>
      <c r="E248" s="13" t="n"/>
    </row>
    <row r="249" ht="15.75" customHeight="1" s="15">
      <c r="B249" s="1" t="n"/>
      <c r="E249" s="13" t="n"/>
    </row>
    <row r="250" ht="15.75" customHeight="1" s="15">
      <c r="B250" s="1" t="n"/>
      <c r="E250" s="13" t="n"/>
    </row>
    <row r="251" ht="15.75" customHeight="1" s="15">
      <c r="B251" s="1" t="n"/>
      <c r="E251" s="13" t="n"/>
    </row>
    <row r="252" ht="15.75" customHeight="1" s="15">
      <c r="B252" s="1" t="n"/>
      <c r="E252" s="13" t="n"/>
    </row>
    <row r="253" ht="15.75" customHeight="1" s="15">
      <c r="B253" s="1" t="n"/>
      <c r="E253" s="13" t="n"/>
    </row>
    <row r="254" ht="15.75" customHeight="1" s="15">
      <c r="B254" s="1" t="n"/>
      <c r="E254" s="13" t="n"/>
    </row>
    <row r="255" ht="15.75" customHeight="1" s="15">
      <c r="B255" s="1" t="n"/>
      <c r="E255" s="13" t="n"/>
    </row>
    <row r="256" ht="15.75" customHeight="1" s="15">
      <c r="B256" s="1" t="n"/>
      <c r="E256" s="13" t="n"/>
    </row>
    <row r="257" ht="15.75" customHeight="1" s="15">
      <c r="B257" s="1" t="n"/>
      <c r="E257" s="13" t="n"/>
    </row>
    <row r="258" ht="15.75" customHeight="1" s="15">
      <c r="B258" s="1" t="n"/>
      <c r="E258" s="13" t="n"/>
    </row>
    <row r="259" ht="15.75" customHeight="1" s="15">
      <c r="B259" s="1" t="n"/>
      <c r="E259" s="13" t="n"/>
    </row>
    <row r="260" ht="15.75" customHeight="1" s="15">
      <c r="B260" s="1" t="n"/>
      <c r="E260" s="13" t="n"/>
    </row>
    <row r="261" ht="15.75" customHeight="1" s="15">
      <c r="B261" s="1" t="n"/>
      <c r="E261" s="13" t="n"/>
    </row>
    <row r="262" ht="15.75" customHeight="1" s="15">
      <c r="B262" s="1" t="n"/>
      <c r="E262" s="13" t="n"/>
    </row>
    <row r="263" ht="15.75" customHeight="1" s="15">
      <c r="B263" s="1" t="n"/>
      <c r="E263" s="13" t="n"/>
    </row>
    <row r="264" ht="15.75" customHeight="1" s="15">
      <c r="B264" s="1" t="n"/>
      <c r="E264" s="13" t="n"/>
    </row>
    <row r="265" ht="15.75" customHeight="1" s="15">
      <c r="B265" s="1" t="n"/>
      <c r="E265" s="13" t="n"/>
    </row>
    <row r="266" ht="15.75" customHeight="1" s="15">
      <c r="B266" s="1" t="n"/>
      <c r="E266" s="13" t="n"/>
    </row>
    <row r="267" ht="15.75" customHeight="1" s="15">
      <c r="B267" s="1" t="n"/>
      <c r="E267" s="13" t="n"/>
    </row>
    <row r="268" ht="15.75" customHeight="1" s="15">
      <c r="B268" s="1" t="n"/>
      <c r="E268" s="13" t="n"/>
    </row>
    <row r="269" ht="15.75" customHeight="1" s="15">
      <c r="B269" s="1" t="n"/>
      <c r="E269" s="13" t="n"/>
    </row>
    <row r="270" ht="15.75" customHeight="1" s="15">
      <c r="B270" s="1" t="n"/>
      <c r="E270" s="13" t="n"/>
    </row>
    <row r="271" ht="15.75" customHeight="1" s="15">
      <c r="B271" s="1" t="n"/>
      <c r="E271" s="13" t="n"/>
    </row>
    <row r="272" ht="15.75" customHeight="1" s="15">
      <c r="B272" s="1" t="n"/>
      <c r="E272" s="13" t="n"/>
    </row>
    <row r="273" ht="15.75" customHeight="1" s="15">
      <c r="B273" s="1" t="n"/>
      <c r="E273" s="13" t="n"/>
    </row>
    <row r="274" ht="15.75" customHeight="1" s="15">
      <c r="B274" s="1" t="n"/>
      <c r="E274" s="13" t="n"/>
    </row>
    <row r="275" ht="15.75" customHeight="1" s="15">
      <c r="B275" s="1" t="n"/>
      <c r="E275" s="13" t="n"/>
    </row>
    <row r="276" ht="15.75" customHeight="1" s="15">
      <c r="B276" s="1" t="n"/>
      <c r="E276" s="13" t="n"/>
    </row>
    <row r="277" ht="15.75" customHeight="1" s="15">
      <c r="B277" s="1" t="n"/>
      <c r="E277" s="13" t="n"/>
    </row>
    <row r="278" ht="15.75" customHeight="1" s="15">
      <c r="B278" s="1" t="n"/>
      <c r="E278" s="13" t="n"/>
    </row>
    <row r="279" ht="15.75" customHeight="1" s="15">
      <c r="B279" s="1" t="n"/>
      <c r="E279" s="13" t="n"/>
    </row>
    <row r="280" ht="15.75" customHeight="1" s="15">
      <c r="B280" s="1" t="n"/>
      <c r="E280" s="13" t="n"/>
    </row>
    <row r="281" ht="15.75" customHeight="1" s="15">
      <c r="B281" s="1" t="n"/>
      <c r="E281" s="13" t="n"/>
    </row>
    <row r="282" ht="15.75" customHeight="1" s="15">
      <c r="B282" s="1" t="n"/>
      <c r="E282" s="13" t="n"/>
    </row>
    <row r="283" ht="15.75" customHeight="1" s="15">
      <c r="B283" s="1" t="n"/>
      <c r="E283" s="13" t="n"/>
    </row>
    <row r="284" ht="15.75" customHeight="1" s="15">
      <c r="B284" s="1" t="n"/>
      <c r="E284" s="13" t="n"/>
    </row>
    <row r="285" ht="15.75" customHeight="1" s="15">
      <c r="B285" s="1" t="n"/>
      <c r="E285" s="13" t="n"/>
    </row>
    <row r="286" ht="15.75" customHeight="1" s="15">
      <c r="B286" s="1" t="n"/>
      <c r="E286" s="13" t="n"/>
    </row>
    <row r="287" ht="15.75" customHeight="1" s="15">
      <c r="B287" s="1" t="n"/>
      <c r="E287" s="13" t="n"/>
    </row>
    <row r="288" ht="15.75" customHeight="1" s="15">
      <c r="B288" s="1" t="n"/>
      <c r="E288" s="13" t="n"/>
    </row>
    <row r="289" ht="15.75" customHeight="1" s="15">
      <c r="B289" s="1" t="n"/>
      <c r="E289" s="13" t="n"/>
    </row>
    <row r="290" ht="15.75" customHeight="1" s="15">
      <c r="B290" s="1" t="n"/>
      <c r="E290" s="13" t="n"/>
    </row>
    <row r="291" ht="15.75" customHeight="1" s="15">
      <c r="B291" s="1" t="n"/>
      <c r="E291" s="13" t="n"/>
    </row>
    <row r="292" ht="15.75" customHeight="1" s="15">
      <c r="B292" s="1" t="n"/>
      <c r="E292" s="13" t="n"/>
    </row>
    <row r="293" ht="15.75" customHeight="1" s="15">
      <c r="B293" s="1" t="n"/>
      <c r="E293" s="13" t="n"/>
    </row>
    <row r="294" ht="15.75" customHeight="1" s="15">
      <c r="B294" s="1" t="n"/>
      <c r="E294" s="13" t="n"/>
    </row>
    <row r="295" ht="15.75" customHeight="1" s="15">
      <c r="B295" s="1" t="n"/>
      <c r="E295" s="13" t="n"/>
    </row>
    <row r="296" ht="15.75" customHeight="1" s="15">
      <c r="B296" s="1" t="n"/>
      <c r="E296" s="13" t="n"/>
    </row>
    <row r="297" ht="15.75" customHeight="1" s="15">
      <c r="B297" s="1" t="n"/>
      <c r="E297" s="13" t="n"/>
    </row>
    <row r="298" ht="15.75" customHeight="1" s="15">
      <c r="B298" s="1" t="n"/>
      <c r="E298" s="13" t="n"/>
    </row>
    <row r="299" ht="15.75" customHeight="1" s="15">
      <c r="B299" s="1" t="n"/>
      <c r="E299" s="13" t="n"/>
    </row>
    <row r="300" ht="15.75" customHeight="1" s="15">
      <c r="B300" s="1" t="n"/>
      <c r="E300" s="13" t="n"/>
    </row>
    <row r="301" ht="15.75" customHeight="1" s="15">
      <c r="B301" s="1" t="n"/>
      <c r="E301" s="13" t="n"/>
    </row>
    <row r="302" ht="15.75" customHeight="1" s="15">
      <c r="B302" s="1" t="n"/>
      <c r="E302" s="13" t="n"/>
    </row>
    <row r="303" ht="15.75" customHeight="1" s="15">
      <c r="B303" s="1" t="n"/>
      <c r="E303" s="13" t="n"/>
    </row>
    <row r="304" ht="15.75" customHeight="1" s="15">
      <c r="B304" s="1" t="n"/>
      <c r="E304" s="13" t="n"/>
    </row>
    <row r="305" ht="15.75" customHeight="1" s="15">
      <c r="B305" s="1" t="n"/>
      <c r="E305" s="13" t="n"/>
    </row>
    <row r="306" ht="15.75" customHeight="1" s="15">
      <c r="B306" s="1" t="n"/>
      <c r="E306" s="13" t="n"/>
    </row>
    <row r="307" ht="15.75" customHeight="1" s="15">
      <c r="B307" s="1" t="n"/>
      <c r="E307" s="13" t="n"/>
    </row>
    <row r="308" ht="15.75" customHeight="1" s="15">
      <c r="B308" s="1" t="n"/>
      <c r="E308" s="13" t="n"/>
    </row>
    <row r="309" ht="15.75" customHeight="1" s="15">
      <c r="B309" s="1" t="n"/>
      <c r="E309" s="13" t="n"/>
    </row>
    <row r="310" ht="15.75" customHeight="1" s="15">
      <c r="B310" s="1" t="n"/>
      <c r="E310" s="13" t="n"/>
    </row>
    <row r="311" ht="15.75" customHeight="1" s="15">
      <c r="B311" s="1" t="n"/>
      <c r="E311" s="13" t="n"/>
    </row>
    <row r="312" ht="15.75" customHeight="1" s="15">
      <c r="B312" s="1" t="n"/>
      <c r="E312" s="13" t="n"/>
    </row>
    <row r="313" ht="15.75" customHeight="1" s="15">
      <c r="B313" s="1" t="n"/>
      <c r="E313" s="13" t="n"/>
    </row>
    <row r="314" ht="15.75" customHeight="1" s="15">
      <c r="B314" s="1" t="n"/>
      <c r="E314" s="13" t="n"/>
    </row>
    <row r="315" ht="15.75" customHeight="1" s="15">
      <c r="B315" s="1" t="n"/>
      <c r="E315" s="13" t="n"/>
    </row>
    <row r="316" ht="15.75" customHeight="1" s="15">
      <c r="B316" s="1" t="n"/>
      <c r="E316" s="13" t="n"/>
    </row>
    <row r="317" ht="15.75" customHeight="1" s="15">
      <c r="B317" s="1" t="n"/>
      <c r="E317" s="13" t="n"/>
    </row>
    <row r="318" ht="15.75" customHeight="1" s="15">
      <c r="B318" s="1" t="n"/>
      <c r="E318" s="13" t="n"/>
    </row>
    <row r="319" ht="15.75" customHeight="1" s="15">
      <c r="B319" s="1" t="n"/>
      <c r="E319" s="13" t="n"/>
    </row>
    <row r="320" ht="15.75" customHeight="1" s="15">
      <c r="B320" s="1" t="n"/>
      <c r="E320" s="13" t="n"/>
    </row>
    <row r="321" ht="15.75" customHeight="1" s="15">
      <c r="B321" s="1" t="n"/>
      <c r="E321" s="13" t="n"/>
    </row>
    <row r="322" ht="15.75" customHeight="1" s="15">
      <c r="B322" s="1" t="n"/>
      <c r="E322" s="13" t="n"/>
    </row>
    <row r="323" ht="15.75" customHeight="1" s="15">
      <c r="B323" s="1" t="n"/>
      <c r="E323" s="13" t="n"/>
    </row>
    <row r="324" ht="15.75" customHeight="1" s="15">
      <c r="B324" s="1" t="n"/>
      <c r="E324" s="13" t="n"/>
    </row>
    <row r="325" ht="15.75" customHeight="1" s="15">
      <c r="B325" s="1" t="n"/>
      <c r="E325" s="13" t="n"/>
    </row>
    <row r="326" ht="15.75" customHeight="1" s="15">
      <c r="B326" s="1" t="n"/>
      <c r="E326" s="13" t="n"/>
    </row>
    <row r="327" ht="15.75" customHeight="1" s="15">
      <c r="B327" s="1" t="n"/>
      <c r="E327" s="13" t="n"/>
    </row>
    <row r="328" ht="15.75" customHeight="1" s="15">
      <c r="B328" s="1" t="n"/>
      <c r="E328" s="13" t="n"/>
    </row>
    <row r="329" ht="15.75" customHeight="1" s="15">
      <c r="B329" s="1" t="n"/>
      <c r="E329" s="13" t="n"/>
    </row>
    <row r="330" ht="15.75" customHeight="1" s="15">
      <c r="B330" s="1" t="n"/>
      <c r="E330" s="13" t="n"/>
    </row>
    <row r="331" ht="15.75" customHeight="1" s="15">
      <c r="B331" s="1" t="n"/>
      <c r="E331" s="13" t="n"/>
    </row>
    <row r="332" ht="15.75" customHeight="1" s="15">
      <c r="B332" s="1" t="n"/>
      <c r="E332" s="13" t="n"/>
    </row>
    <row r="333" ht="15.75" customHeight="1" s="15">
      <c r="B333" s="1" t="n"/>
      <c r="E333" s="13" t="n"/>
    </row>
    <row r="334" ht="15.75" customHeight="1" s="15">
      <c r="B334" s="1" t="n"/>
      <c r="E334" s="13" t="n"/>
    </row>
    <row r="335" ht="15.75" customHeight="1" s="15">
      <c r="B335" s="1" t="n"/>
      <c r="E335" s="13" t="n"/>
    </row>
    <row r="336" ht="15.75" customHeight="1" s="15">
      <c r="B336" s="1" t="n"/>
      <c r="E336" s="13" t="n"/>
    </row>
    <row r="337" ht="15.75" customHeight="1" s="15">
      <c r="B337" s="1" t="n"/>
      <c r="E337" s="13" t="n"/>
    </row>
    <row r="338" ht="15.75" customHeight="1" s="15">
      <c r="B338" s="1" t="n"/>
      <c r="E338" s="13" t="n"/>
    </row>
    <row r="339" ht="15.75" customHeight="1" s="15">
      <c r="B339" s="1" t="n"/>
      <c r="E339" s="13" t="n"/>
    </row>
    <row r="340" ht="15.75" customHeight="1" s="15">
      <c r="B340" s="1" t="n"/>
      <c r="E340" s="13" t="n"/>
    </row>
    <row r="341" ht="15.75" customHeight="1" s="15">
      <c r="B341" s="1" t="n"/>
      <c r="E341" s="13" t="n"/>
    </row>
    <row r="342" ht="15.75" customHeight="1" s="15">
      <c r="B342" s="1" t="n"/>
      <c r="E342" s="13" t="n"/>
    </row>
    <row r="343" ht="15.75" customHeight="1" s="15">
      <c r="B343" s="1" t="n"/>
      <c r="E343" s="13" t="n"/>
    </row>
    <row r="344" ht="15.75" customHeight="1" s="15">
      <c r="B344" s="1" t="n"/>
      <c r="E344" s="13" t="n"/>
    </row>
    <row r="345" ht="15.75" customHeight="1" s="15">
      <c r="B345" s="1" t="n"/>
      <c r="E345" s="13" t="n"/>
    </row>
    <row r="346" ht="15.75" customHeight="1" s="15">
      <c r="B346" s="1" t="n"/>
      <c r="E346" s="13" t="n"/>
    </row>
    <row r="347" ht="15.75" customHeight="1" s="15">
      <c r="B347" s="1" t="n"/>
      <c r="E347" s="13" t="n"/>
    </row>
    <row r="348" ht="15.75" customHeight="1" s="15">
      <c r="B348" s="1" t="n"/>
      <c r="E348" s="13" t="n"/>
    </row>
    <row r="349" ht="15.75" customHeight="1" s="15">
      <c r="B349" s="1" t="n"/>
      <c r="E349" s="13" t="n"/>
    </row>
    <row r="350" ht="15.75" customHeight="1" s="15">
      <c r="B350" s="1" t="n"/>
      <c r="E350" s="13" t="n"/>
    </row>
    <row r="351" ht="15.75" customHeight="1" s="15">
      <c r="B351" s="1" t="n"/>
      <c r="E351" s="13" t="n"/>
    </row>
    <row r="352" ht="15.75" customHeight="1" s="15">
      <c r="B352" s="1" t="n"/>
      <c r="E352" s="13" t="n"/>
    </row>
    <row r="353" ht="15.75" customHeight="1" s="15">
      <c r="B353" s="1" t="n"/>
      <c r="E353" s="13" t="n"/>
    </row>
    <row r="354" ht="15.75" customHeight="1" s="15">
      <c r="B354" s="1" t="n"/>
      <c r="E354" s="13" t="n"/>
    </row>
    <row r="355" ht="15.75" customHeight="1" s="15">
      <c r="B355" s="1" t="n"/>
      <c r="E355" s="13" t="n"/>
    </row>
    <row r="356" ht="15.75" customHeight="1" s="15">
      <c r="B356" s="1" t="n"/>
      <c r="E356" s="13" t="n"/>
    </row>
    <row r="357" ht="15.75" customHeight="1" s="15">
      <c r="B357" s="1" t="n"/>
      <c r="E357" s="13" t="n"/>
    </row>
    <row r="358" ht="15.75" customHeight="1" s="15">
      <c r="B358" s="1" t="n"/>
      <c r="E358" s="13" t="n"/>
    </row>
    <row r="359" ht="15.75" customHeight="1" s="15">
      <c r="B359" s="1" t="n"/>
      <c r="E359" s="13" t="n"/>
    </row>
    <row r="360" ht="15.75" customHeight="1" s="15">
      <c r="B360" s="1" t="n"/>
      <c r="E360" s="13" t="n"/>
    </row>
    <row r="361" ht="15.75" customHeight="1" s="15">
      <c r="B361" s="1" t="n"/>
      <c r="E361" s="13" t="n"/>
    </row>
    <row r="362" ht="15.75" customHeight="1" s="15">
      <c r="B362" s="1" t="n"/>
      <c r="E362" s="13" t="n"/>
    </row>
    <row r="363" ht="15.75" customHeight="1" s="15">
      <c r="B363" s="1" t="n"/>
      <c r="E363" s="13" t="n"/>
    </row>
    <row r="364" ht="15.75" customHeight="1" s="15">
      <c r="B364" s="1" t="n"/>
      <c r="E364" s="13" t="n"/>
    </row>
    <row r="365" ht="15.75" customHeight="1" s="15">
      <c r="B365" s="1" t="n"/>
      <c r="E365" s="13" t="n"/>
    </row>
    <row r="366" ht="15.75" customHeight="1" s="15">
      <c r="B366" s="1" t="n"/>
      <c r="E366" s="13" t="n"/>
    </row>
    <row r="367" ht="15.75" customHeight="1" s="15">
      <c r="B367" s="1" t="n"/>
      <c r="E367" s="13" t="n"/>
    </row>
    <row r="368" ht="15.75" customHeight="1" s="15">
      <c r="B368" s="1" t="n"/>
      <c r="E368" s="13" t="n"/>
    </row>
    <row r="369" ht="15.75" customHeight="1" s="15">
      <c r="B369" s="1" t="n"/>
      <c r="E369" s="13" t="n"/>
    </row>
    <row r="370" ht="15.75" customHeight="1" s="15">
      <c r="B370" s="1" t="n"/>
      <c r="E370" s="13" t="n"/>
    </row>
    <row r="371" ht="15.75" customHeight="1" s="15">
      <c r="B371" s="1" t="n"/>
      <c r="E371" s="13" t="n"/>
    </row>
    <row r="372" ht="15.75" customHeight="1" s="15">
      <c r="B372" s="1" t="n"/>
      <c r="E372" s="13" t="n"/>
    </row>
    <row r="373" ht="15.75" customHeight="1" s="15">
      <c r="B373" s="1" t="n"/>
      <c r="E373" s="13" t="n"/>
    </row>
    <row r="374" ht="15.75" customHeight="1" s="15">
      <c r="B374" s="1" t="n"/>
      <c r="E374" s="13" t="n"/>
    </row>
    <row r="375" ht="15.75" customHeight="1" s="15">
      <c r="B375" s="1" t="n"/>
      <c r="E375" s="13" t="n"/>
    </row>
    <row r="376" ht="15.75" customHeight="1" s="15">
      <c r="B376" s="1" t="n"/>
      <c r="E376" s="13" t="n"/>
    </row>
    <row r="377" ht="15.75" customHeight="1" s="15">
      <c r="B377" s="1" t="n"/>
      <c r="E377" s="13" t="n"/>
    </row>
    <row r="378" ht="15.75" customHeight="1" s="15">
      <c r="B378" s="1" t="n"/>
      <c r="E378" s="13" t="n"/>
    </row>
    <row r="379" ht="15.75" customHeight="1" s="15">
      <c r="B379" s="1" t="n"/>
      <c r="E379" s="13" t="n"/>
    </row>
    <row r="380" ht="15.75" customHeight="1" s="15">
      <c r="B380" s="1" t="n"/>
      <c r="E380" s="13" t="n"/>
    </row>
    <row r="381" ht="15.75" customHeight="1" s="15">
      <c r="B381" s="1" t="n"/>
      <c r="E381" s="13" t="n"/>
    </row>
    <row r="382" ht="15.75" customHeight="1" s="15">
      <c r="B382" s="1" t="n"/>
      <c r="E382" s="13" t="n"/>
    </row>
    <row r="383" ht="15.75" customHeight="1" s="15">
      <c r="B383" s="1" t="n"/>
      <c r="E383" s="13" t="n"/>
    </row>
    <row r="384" ht="15.75" customHeight="1" s="15">
      <c r="B384" s="1" t="n"/>
      <c r="E384" s="13" t="n"/>
    </row>
    <row r="385" ht="15.75" customHeight="1" s="15">
      <c r="B385" s="1" t="n"/>
      <c r="E385" s="13" t="n"/>
    </row>
    <row r="386" ht="15.75" customHeight="1" s="15">
      <c r="B386" s="1" t="n"/>
      <c r="E386" s="13" t="n"/>
    </row>
    <row r="387" ht="15.75" customHeight="1" s="15">
      <c r="B387" s="1" t="n"/>
      <c r="E387" s="13" t="n"/>
    </row>
    <row r="388" ht="15.75" customHeight="1" s="15">
      <c r="B388" s="1" t="n"/>
      <c r="E388" s="13" t="n"/>
    </row>
    <row r="389" ht="15.75" customHeight="1" s="15">
      <c r="B389" s="1" t="n"/>
      <c r="E389" s="13" t="n"/>
    </row>
    <row r="390" ht="15.75" customHeight="1" s="15">
      <c r="B390" s="1" t="n"/>
      <c r="E390" s="13" t="n"/>
    </row>
    <row r="391" ht="15.75" customHeight="1" s="15">
      <c r="B391" s="1" t="n"/>
      <c r="E391" s="13" t="n"/>
    </row>
    <row r="392" ht="15.75" customHeight="1" s="15">
      <c r="B392" s="1" t="n"/>
      <c r="E392" s="13" t="n"/>
    </row>
    <row r="393" ht="15.75" customHeight="1" s="15">
      <c r="B393" s="1" t="n"/>
      <c r="E393" s="13" t="n"/>
    </row>
    <row r="394" ht="15.75" customHeight="1" s="15">
      <c r="B394" s="1" t="n"/>
      <c r="E394" s="13" t="n"/>
    </row>
    <row r="395" ht="15.75" customHeight="1" s="15">
      <c r="B395" s="1" t="n"/>
      <c r="E395" s="13" t="n"/>
    </row>
    <row r="396" ht="15.75" customHeight="1" s="15">
      <c r="B396" s="1" t="n"/>
      <c r="E396" s="13" t="n"/>
    </row>
    <row r="397" ht="15.75" customHeight="1" s="15">
      <c r="B397" s="1" t="n"/>
      <c r="E397" s="13" t="n"/>
    </row>
    <row r="398" ht="15.75" customHeight="1" s="15">
      <c r="B398" s="1" t="n"/>
      <c r="E398" s="13" t="n"/>
    </row>
    <row r="399" ht="15.75" customHeight="1" s="15">
      <c r="B399" s="1" t="n"/>
      <c r="E399" s="13" t="n"/>
    </row>
    <row r="400" ht="15.75" customHeight="1" s="15">
      <c r="B400" s="1" t="n"/>
      <c r="E400" s="13" t="n"/>
    </row>
    <row r="401" ht="15.75" customHeight="1" s="15">
      <c r="B401" s="1" t="n"/>
      <c r="E401" s="13" t="n"/>
    </row>
    <row r="402" ht="15.75" customHeight="1" s="15">
      <c r="B402" s="1" t="n"/>
      <c r="E402" s="13" t="n"/>
    </row>
    <row r="403" ht="15.75" customHeight="1" s="15">
      <c r="B403" s="1" t="n"/>
      <c r="E403" s="13" t="n"/>
    </row>
    <row r="404" ht="15.75" customHeight="1" s="15">
      <c r="B404" s="1" t="n"/>
      <c r="E404" s="13" t="n"/>
    </row>
    <row r="405" ht="15.75" customHeight="1" s="15">
      <c r="B405" s="1" t="n"/>
      <c r="E405" s="13" t="n"/>
    </row>
    <row r="406" ht="15.75" customHeight="1" s="15">
      <c r="B406" s="1" t="n"/>
      <c r="E406" s="13" t="n"/>
    </row>
    <row r="407" ht="15.75" customHeight="1" s="15">
      <c r="B407" s="1" t="n"/>
      <c r="E407" s="13" t="n"/>
    </row>
    <row r="408" ht="15.75" customHeight="1" s="15">
      <c r="B408" s="1" t="n"/>
      <c r="E408" s="13" t="n"/>
    </row>
    <row r="409" ht="15.75" customHeight="1" s="15">
      <c r="B409" s="1" t="n"/>
      <c r="E409" s="13" t="n"/>
    </row>
    <row r="410" ht="15.75" customHeight="1" s="15">
      <c r="B410" s="1" t="n"/>
      <c r="E410" s="13" t="n"/>
    </row>
    <row r="411" ht="15.75" customHeight="1" s="15">
      <c r="B411" s="1" t="n"/>
      <c r="E411" s="13" t="n"/>
    </row>
    <row r="412" ht="15.75" customHeight="1" s="15">
      <c r="B412" s="1" t="n"/>
      <c r="E412" s="13" t="n"/>
    </row>
    <row r="413" ht="15.75" customHeight="1" s="15">
      <c r="B413" s="1" t="n"/>
      <c r="E413" s="13" t="n"/>
    </row>
    <row r="414" ht="15.75" customHeight="1" s="15">
      <c r="B414" s="1" t="n"/>
      <c r="E414" s="13" t="n"/>
    </row>
    <row r="415" ht="15.75" customHeight="1" s="15">
      <c r="B415" s="1" t="n"/>
      <c r="E415" s="13" t="n"/>
    </row>
    <row r="416" ht="15.75" customHeight="1" s="15">
      <c r="B416" s="1" t="n"/>
      <c r="E416" s="13" t="n"/>
    </row>
    <row r="417" ht="15.75" customHeight="1" s="15">
      <c r="B417" s="1" t="n"/>
      <c r="E417" s="13" t="n"/>
    </row>
    <row r="418" ht="15.75" customHeight="1" s="15">
      <c r="B418" s="1" t="n"/>
      <c r="E418" s="13" t="n"/>
    </row>
    <row r="419" ht="15.75" customHeight="1" s="15">
      <c r="B419" s="1" t="n"/>
      <c r="E419" s="13" t="n"/>
    </row>
    <row r="420" ht="15.75" customHeight="1" s="15">
      <c r="B420" s="1" t="n"/>
      <c r="E420" s="13" t="n"/>
    </row>
    <row r="421" ht="15.75" customHeight="1" s="15">
      <c r="B421" s="1" t="n"/>
      <c r="E421" s="13" t="n"/>
    </row>
    <row r="422" ht="15.75" customHeight="1" s="15">
      <c r="B422" s="1" t="n"/>
      <c r="E422" s="13" t="n"/>
    </row>
    <row r="423" ht="15.75" customHeight="1" s="15">
      <c r="B423" s="1" t="n"/>
      <c r="E423" s="13" t="n"/>
    </row>
    <row r="424" ht="15.75" customHeight="1" s="15">
      <c r="B424" s="1" t="n"/>
      <c r="E424" s="13" t="n"/>
    </row>
    <row r="425" ht="15.75" customHeight="1" s="15">
      <c r="B425" s="1" t="n"/>
      <c r="E425" s="13" t="n"/>
    </row>
    <row r="426" ht="15.75" customHeight="1" s="15">
      <c r="B426" s="1" t="n"/>
      <c r="E426" s="13" t="n"/>
    </row>
    <row r="427" ht="15.75" customHeight="1" s="15">
      <c r="B427" s="1" t="n"/>
      <c r="E427" s="13" t="n"/>
    </row>
    <row r="428" ht="15.75" customHeight="1" s="15">
      <c r="B428" s="1" t="n"/>
      <c r="E428" s="13" t="n"/>
    </row>
    <row r="429" ht="15.75" customHeight="1" s="15">
      <c r="B429" s="1" t="n"/>
      <c r="E429" s="13" t="n"/>
    </row>
    <row r="430" ht="15.75" customHeight="1" s="15">
      <c r="B430" s="1" t="n"/>
      <c r="E430" s="13" t="n"/>
    </row>
    <row r="431" ht="15.75" customHeight="1" s="15">
      <c r="B431" s="1" t="n"/>
      <c r="E431" s="13" t="n"/>
    </row>
    <row r="432" ht="15.75" customHeight="1" s="15">
      <c r="B432" s="1" t="n"/>
      <c r="E432" s="13" t="n"/>
    </row>
    <row r="433" ht="15.75" customHeight="1" s="15">
      <c r="B433" s="1" t="n"/>
      <c r="E433" s="13" t="n"/>
    </row>
    <row r="434" ht="15.75" customHeight="1" s="15">
      <c r="B434" s="1" t="n"/>
      <c r="E434" s="13" t="n"/>
    </row>
    <row r="435" ht="15.75" customHeight="1" s="15">
      <c r="B435" s="1" t="n"/>
      <c r="E435" s="13" t="n"/>
    </row>
    <row r="436" ht="15.75" customHeight="1" s="15">
      <c r="B436" s="1" t="n"/>
      <c r="E436" s="13" t="n"/>
    </row>
    <row r="437" ht="15.75" customHeight="1" s="15">
      <c r="B437" s="1" t="n"/>
      <c r="E437" s="13" t="n"/>
    </row>
    <row r="438" ht="15.75" customHeight="1" s="15">
      <c r="B438" s="1" t="n"/>
      <c r="E438" s="13" t="n"/>
    </row>
    <row r="439" ht="15.75" customHeight="1" s="15">
      <c r="B439" s="1" t="n"/>
      <c r="E439" s="13" t="n"/>
    </row>
    <row r="440" ht="15.75" customHeight="1" s="15">
      <c r="B440" s="1" t="n"/>
      <c r="E440" s="13" t="n"/>
    </row>
    <row r="441" ht="15.75" customHeight="1" s="15">
      <c r="B441" s="1" t="n"/>
      <c r="E441" s="13" t="n"/>
    </row>
    <row r="442" ht="15.75" customHeight="1" s="15">
      <c r="B442" s="1" t="n"/>
      <c r="E442" s="13" t="n"/>
    </row>
    <row r="443" ht="15.75" customHeight="1" s="15">
      <c r="B443" s="1" t="n"/>
      <c r="E443" s="13" t="n"/>
    </row>
    <row r="444" ht="15.75" customHeight="1" s="15">
      <c r="B444" s="1" t="n"/>
      <c r="E444" s="13" t="n"/>
    </row>
    <row r="445" ht="15.75" customHeight="1" s="15">
      <c r="B445" s="1" t="n"/>
      <c r="E445" s="13" t="n"/>
    </row>
    <row r="446" ht="15.75" customHeight="1" s="15">
      <c r="B446" s="1" t="n"/>
      <c r="E446" s="13" t="n"/>
    </row>
    <row r="447" ht="15.75" customHeight="1" s="15">
      <c r="B447" s="1" t="n"/>
      <c r="E447" s="13" t="n"/>
    </row>
    <row r="448" ht="15.75" customHeight="1" s="15">
      <c r="B448" s="1" t="n"/>
      <c r="E448" s="13" t="n"/>
    </row>
    <row r="449" ht="15.75" customHeight="1" s="15">
      <c r="B449" s="1" t="n"/>
      <c r="E449" s="13" t="n"/>
    </row>
    <row r="450" ht="15.75" customHeight="1" s="15">
      <c r="B450" s="1" t="n"/>
      <c r="E450" s="13" t="n"/>
    </row>
    <row r="451" ht="15.75" customHeight="1" s="15">
      <c r="B451" s="1" t="n"/>
      <c r="E451" s="13" t="n"/>
    </row>
    <row r="452" ht="15.75" customHeight="1" s="15">
      <c r="B452" s="1" t="n"/>
      <c r="E452" s="13" t="n"/>
    </row>
    <row r="453" ht="15.75" customHeight="1" s="15">
      <c r="B453" s="1" t="n"/>
      <c r="E453" s="13" t="n"/>
    </row>
    <row r="454" ht="15.75" customHeight="1" s="15">
      <c r="B454" s="1" t="n"/>
      <c r="E454" s="13" t="n"/>
    </row>
    <row r="455" ht="15.75" customHeight="1" s="15">
      <c r="B455" s="1" t="n"/>
      <c r="E455" s="13" t="n"/>
    </row>
    <row r="456" ht="15.75" customHeight="1" s="15">
      <c r="B456" s="1" t="n"/>
      <c r="E456" s="13" t="n"/>
    </row>
    <row r="457" ht="15.75" customHeight="1" s="15">
      <c r="B457" s="1" t="n"/>
      <c r="E457" s="13" t="n"/>
    </row>
    <row r="458" ht="15.75" customHeight="1" s="15">
      <c r="B458" s="1" t="n"/>
      <c r="E458" s="13" t="n"/>
    </row>
    <row r="459" ht="15.75" customHeight="1" s="15">
      <c r="B459" s="1" t="n"/>
      <c r="E459" s="13" t="n"/>
    </row>
    <row r="460" ht="15.75" customHeight="1" s="15">
      <c r="B460" s="1" t="n"/>
      <c r="E460" s="13" t="n"/>
    </row>
    <row r="461" ht="15.75" customHeight="1" s="15">
      <c r="B461" s="1" t="n"/>
      <c r="E461" s="13" t="n"/>
    </row>
    <row r="462" ht="15.75" customHeight="1" s="15">
      <c r="B462" s="1" t="n"/>
      <c r="E462" s="13" t="n"/>
    </row>
    <row r="463" ht="15.75" customHeight="1" s="15">
      <c r="B463" s="1" t="n"/>
      <c r="E463" s="13" t="n"/>
    </row>
    <row r="464" ht="15.75" customHeight="1" s="15">
      <c r="B464" s="1" t="n"/>
      <c r="E464" s="13" t="n"/>
    </row>
    <row r="465" ht="15.75" customHeight="1" s="15">
      <c r="B465" s="1" t="n"/>
      <c r="E465" s="13" t="n"/>
    </row>
    <row r="466" ht="15.75" customHeight="1" s="15">
      <c r="B466" s="1" t="n"/>
      <c r="E466" s="13" t="n"/>
    </row>
    <row r="467" ht="15.75" customHeight="1" s="15">
      <c r="B467" s="1" t="n"/>
      <c r="E467" s="13" t="n"/>
    </row>
    <row r="468" ht="15.75" customHeight="1" s="15">
      <c r="B468" s="1" t="n"/>
      <c r="E468" s="13" t="n"/>
    </row>
    <row r="469" ht="15.75" customHeight="1" s="15">
      <c r="B469" s="1" t="n"/>
      <c r="E469" s="13" t="n"/>
    </row>
    <row r="470" ht="15.75" customHeight="1" s="15">
      <c r="B470" s="1" t="n"/>
      <c r="E470" s="13" t="n"/>
    </row>
    <row r="471" ht="15.75" customHeight="1" s="15">
      <c r="B471" s="1" t="n"/>
      <c r="E471" s="13" t="n"/>
    </row>
    <row r="472" ht="15.75" customHeight="1" s="15">
      <c r="B472" s="1" t="n"/>
      <c r="E472" s="13" t="n"/>
    </row>
    <row r="473" ht="15.75" customHeight="1" s="15">
      <c r="B473" s="1" t="n"/>
      <c r="E473" s="13" t="n"/>
    </row>
    <row r="474" ht="15.75" customHeight="1" s="15">
      <c r="B474" s="1" t="n"/>
      <c r="E474" s="13" t="n"/>
    </row>
    <row r="475" ht="15.75" customHeight="1" s="15">
      <c r="B475" s="1" t="n"/>
      <c r="E475" s="13" t="n"/>
    </row>
    <row r="476" ht="15.75" customHeight="1" s="15">
      <c r="B476" s="1" t="n"/>
      <c r="E476" s="13" t="n"/>
    </row>
    <row r="477" ht="15.75" customHeight="1" s="15">
      <c r="B477" s="1" t="n"/>
      <c r="E477" s="13" t="n"/>
    </row>
    <row r="478" ht="15.75" customHeight="1" s="15">
      <c r="B478" s="1" t="n"/>
      <c r="E478" s="13" t="n"/>
    </row>
    <row r="479" ht="15.75" customHeight="1" s="15">
      <c r="B479" s="1" t="n"/>
      <c r="E479" s="13" t="n"/>
    </row>
    <row r="480" ht="15.75" customHeight="1" s="15">
      <c r="B480" s="1" t="n"/>
      <c r="E480" s="13" t="n"/>
    </row>
    <row r="481" ht="15.75" customHeight="1" s="15">
      <c r="B481" s="1" t="n"/>
      <c r="E481" s="13" t="n"/>
    </row>
    <row r="482" ht="15.75" customHeight="1" s="15">
      <c r="B482" s="1" t="n"/>
      <c r="E482" s="13" t="n"/>
    </row>
    <row r="483" ht="15.75" customHeight="1" s="15">
      <c r="B483" s="1" t="n"/>
      <c r="E483" s="13" t="n"/>
    </row>
    <row r="484" ht="15.75" customHeight="1" s="15">
      <c r="B484" s="1" t="n"/>
      <c r="E484" s="13" t="n"/>
    </row>
    <row r="485" ht="15.75" customHeight="1" s="15">
      <c r="B485" s="1" t="n"/>
      <c r="E485" s="13" t="n"/>
    </row>
    <row r="486" ht="15.75" customHeight="1" s="15">
      <c r="B486" s="1" t="n"/>
      <c r="E486" s="13" t="n"/>
    </row>
    <row r="487" ht="15.75" customHeight="1" s="15">
      <c r="B487" s="1" t="n"/>
      <c r="E487" s="13" t="n"/>
    </row>
    <row r="488" ht="15.75" customHeight="1" s="15">
      <c r="B488" s="1" t="n"/>
      <c r="E488" s="13" t="n"/>
    </row>
    <row r="489" ht="15.75" customHeight="1" s="15">
      <c r="B489" s="1" t="n"/>
      <c r="E489" s="13" t="n"/>
    </row>
    <row r="490" ht="15.75" customHeight="1" s="15">
      <c r="B490" s="1" t="n"/>
      <c r="E490" s="13" t="n"/>
    </row>
    <row r="491" ht="15.75" customHeight="1" s="15">
      <c r="B491" s="1" t="n"/>
      <c r="E491" s="13" t="n"/>
    </row>
    <row r="492" ht="15.75" customHeight="1" s="15">
      <c r="B492" s="1" t="n"/>
      <c r="E492" s="13" t="n"/>
    </row>
    <row r="493" ht="15.75" customHeight="1" s="15">
      <c r="B493" s="1" t="n"/>
      <c r="E493" s="13" t="n"/>
    </row>
    <row r="494" ht="15.75" customHeight="1" s="15">
      <c r="B494" s="1" t="n"/>
      <c r="E494" s="13" t="n"/>
    </row>
    <row r="495" ht="15.75" customHeight="1" s="15">
      <c r="B495" s="1" t="n"/>
      <c r="E495" s="13" t="n"/>
    </row>
    <row r="496" ht="15.75" customHeight="1" s="15">
      <c r="B496" s="1" t="n"/>
      <c r="E496" s="13" t="n"/>
    </row>
    <row r="497" ht="15.75" customHeight="1" s="15">
      <c r="B497" s="1" t="n"/>
      <c r="E497" s="13" t="n"/>
    </row>
    <row r="498" ht="15.75" customHeight="1" s="15">
      <c r="B498" s="1" t="n"/>
      <c r="E498" s="13" t="n"/>
    </row>
    <row r="499" ht="15.75" customHeight="1" s="15">
      <c r="B499" s="1" t="n"/>
      <c r="E499" s="13" t="n"/>
    </row>
    <row r="500" ht="15.75" customHeight="1" s="15">
      <c r="B500" s="1" t="n"/>
      <c r="E500" s="13" t="n"/>
    </row>
    <row r="501" ht="15.75" customHeight="1" s="15">
      <c r="B501" s="1" t="n"/>
      <c r="E501" s="13" t="n"/>
    </row>
    <row r="502" ht="15.75" customHeight="1" s="15">
      <c r="B502" s="1" t="n"/>
      <c r="E502" s="13" t="n"/>
    </row>
    <row r="503" ht="15.75" customHeight="1" s="15">
      <c r="B503" s="1" t="n"/>
      <c r="E503" s="13" t="n"/>
    </row>
    <row r="504" ht="15.75" customHeight="1" s="15">
      <c r="B504" s="1" t="n"/>
      <c r="E504" s="13" t="n"/>
    </row>
    <row r="505" ht="15.75" customHeight="1" s="15">
      <c r="B505" s="1" t="n"/>
      <c r="E505" s="13" t="n"/>
    </row>
    <row r="506" ht="15.75" customHeight="1" s="15">
      <c r="B506" s="1" t="n"/>
      <c r="E506" s="13" t="n"/>
    </row>
    <row r="507" ht="15.75" customHeight="1" s="15">
      <c r="B507" s="1" t="n"/>
      <c r="E507" s="13" t="n"/>
    </row>
    <row r="508" ht="15.75" customHeight="1" s="15">
      <c r="B508" s="1" t="n"/>
      <c r="E508" s="13" t="n"/>
    </row>
    <row r="509" ht="15.75" customHeight="1" s="15">
      <c r="B509" s="1" t="n"/>
      <c r="E509" s="13" t="n"/>
    </row>
    <row r="510" ht="15.75" customHeight="1" s="15">
      <c r="B510" s="1" t="n"/>
      <c r="E510" s="13" t="n"/>
    </row>
    <row r="511" ht="15.75" customHeight="1" s="15">
      <c r="B511" s="1" t="n"/>
      <c r="E511" s="13" t="n"/>
    </row>
    <row r="512" ht="15.75" customHeight="1" s="15">
      <c r="B512" s="1" t="n"/>
      <c r="E512" s="13" t="n"/>
    </row>
    <row r="513" ht="15.75" customHeight="1" s="15">
      <c r="B513" s="1" t="n"/>
      <c r="E513" s="13" t="n"/>
    </row>
    <row r="514" ht="15.75" customHeight="1" s="15">
      <c r="B514" s="1" t="n"/>
      <c r="E514" s="13" t="n"/>
    </row>
    <row r="515" ht="15.75" customHeight="1" s="15">
      <c r="B515" s="1" t="n"/>
      <c r="E515" s="13" t="n"/>
    </row>
    <row r="516" ht="15.75" customHeight="1" s="15">
      <c r="B516" s="1" t="n"/>
      <c r="E516" s="13" t="n"/>
    </row>
    <row r="517" ht="15.75" customHeight="1" s="15">
      <c r="B517" s="1" t="n"/>
      <c r="E517" s="13" t="n"/>
    </row>
    <row r="518" ht="15.75" customHeight="1" s="15">
      <c r="B518" s="1" t="n"/>
      <c r="E518" s="13" t="n"/>
    </row>
    <row r="519" ht="15.75" customHeight="1" s="15">
      <c r="B519" s="1" t="n"/>
      <c r="E519" s="13" t="n"/>
    </row>
    <row r="520" ht="15.75" customHeight="1" s="15">
      <c r="B520" s="1" t="n"/>
      <c r="E520" s="13" t="n"/>
    </row>
    <row r="521" ht="15.75" customHeight="1" s="15">
      <c r="B521" s="1" t="n"/>
      <c r="E521" s="13" t="n"/>
    </row>
    <row r="522" ht="15.75" customHeight="1" s="15">
      <c r="B522" s="1" t="n"/>
      <c r="E522" s="13" t="n"/>
    </row>
    <row r="523" ht="15.75" customHeight="1" s="15">
      <c r="B523" s="1" t="n"/>
      <c r="E523" s="13" t="n"/>
    </row>
    <row r="524" ht="15.75" customHeight="1" s="15">
      <c r="B524" s="1" t="n"/>
      <c r="E524" s="13" t="n"/>
    </row>
    <row r="525" ht="15.75" customHeight="1" s="15">
      <c r="B525" s="1" t="n"/>
      <c r="E525" s="13" t="n"/>
    </row>
    <row r="526" ht="15.75" customHeight="1" s="15">
      <c r="B526" s="1" t="n"/>
      <c r="E526" s="13" t="n"/>
    </row>
    <row r="527" ht="15.75" customHeight="1" s="15">
      <c r="B527" s="1" t="n"/>
      <c r="E527" s="13" t="n"/>
    </row>
    <row r="528" ht="15.75" customHeight="1" s="15">
      <c r="B528" s="1" t="n"/>
      <c r="E528" s="13" t="n"/>
    </row>
    <row r="529" ht="15.75" customHeight="1" s="15">
      <c r="B529" s="1" t="n"/>
      <c r="E529" s="13" t="n"/>
    </row>
    <row r="530" ht="15.75" customHeight="1" s="15">
      <c r="B530" s="1" t="n"/>
      <c r="E530" s="13" t="n"/>
    </row>
    <row r="531" ht="15.75" customHeight="1" s="15">
      <c r="B531" s="1" t="n"/>
      <c r="E531" s="13" t="n"/>
    </row>
    <row r="532" ht="15.75" customHeight="1" s="15">
      <c r="B532" s="1" t="n"/>
      <c r="E532" s="13" t="n"/>
    </row>
    <row r="533" ht="15.75" customHeight="1" s="15">
      <c r="B533" s="1" t="n"/>
      <c r="E533" s="13" t="n"/>
    </row>
    <row r="534" ht="15.75" customHeight="1" s="15">
      <c r="B534" s="1" t="n"/>
      <c r="E534" s="13" t="n"/>
    </row>
    <row r="535" ht="15.75" customHeight="1" s="15">
      <c r="B535" s="1" t="n"/>
      <c r="E535" s="13" t="n"/>
    </row>
    <row r="536" ht="15.75" customHeight="1" s="15">
      <c r="B536" s="1" t="n"/>
      <c r="E536" s="13" t="n"/>
    </row>
    <row r="537" ht="15.75" customHeight="1" s="15">
      <c r="B537" s="1" t="n"/>
      <c r="E537" s="13" t="n"/>
    </row>
    <row r="538" ht="15.75" customHeight="1" s="15">
      <c r="B538" s="1" t="n"/>
      <c r="E538" s="13" t="n"/>
    </row>
    <row r="539" ht="15.75" customHeight="1" s="15">
      <c r="B539" s="1" t="n"/>
      <c r="E539" s="13" t="n"/>
    </row>
    <row r="540" ht="15.75" customHeight="1" s="15">
      <c r="B540" s="1" t="n"/>
      <c r="E540" s="13" t="n"/>
    </row>
    <row r="541" ht="15.75" customHeight="1" s="15">
      <c r="B541" s="1" t="n"/>
      <c r="E541" s="13" t="n"/>
    </row>
    <row r="542" ht="15.75" customHeight="1" s="15">
      <c r="B542" s="1" t="n"/>
      <c r="E542" s="13" t="n"/>
    </row>
    <row r="543" ht="15.75" customHeight="1" s="15">
      <c r="B543" s="1" t="n"/>
      <c r="E543" s="13" t="n"/>
    </row>
    <row r="544" ht="15.75" customHeight="1" s="15">
      <c r="B544" s="1" t="n"/>
      <c r="E544" s="13" t="n"/>
    </row>
    <row r="545" ht="15.75" customHeight="1" s="15">
      <c r="B545" s="1" t="n"/>
      <c r="E545" s="13" t="n"/>
    </row>
    <row r="546" ht="15.75" customHeight="1" s="15">
      <c r="B546" s="1" t="n"/>
      <c r="E546" s="13" t="n"/>
    </row>
    <row r="547" ht="15.75" customHeight="1" s="15">
      <c r="B547" s="1" t="n"/>
      <c r="E547" s="13" t="n"/>
    </row>
    <row r="548" ht="15.75" customHeight="1" s="15">
      <c r="B548" s="1" t="n"/>
      <c r="E548" s="13" t="n"/>
    </row>
    <row r="549" ht="15.75" customHeight="1" s="15">
      <c r="B549" s="1" t="n"/>
      <c r="E549" s="13" t="n"/>
    </row>
    <row r="550" ht="15.75" customHeight="1" s="15">
      <c r="B550" s="1" t="n"/>
      <c r="E550" s="13" t="n"/>
    </row>
    <row r="551" ht="15.75" customHeight="1" s="15">
      <c r="B551" s="1" t="n"/>
      <c r="E551" s="13" t="n"/>
    </row>
    <row r="552" ht="15.75" customHeight="1" s="15">
      <c r="B552" s="1" t="n"/>
      <c r="E552" s="13" t="n"/>
    </row>
    <row r="553" ht="15.75" customHeight="1" s="15">
      <c r="B553" s="1" t="n"/>
      <c r="E553" s="13" t="n"/>
    </row>
    <row r="554" ht="15.75" customHeight="1" s="15">
      <c r="B554" s="1" t="n"/>
      <c r="E554" s="13" t="n"/>
    </row>
    <row r="555" ht="15.75" customHeight="1" s="15">
      <c r="B555" s="1" t="n"/>
      <c r="E555" s="13" t="n"/>
    </row>
    <row r="556" ht="15.75" customHeight="1" s="15">
      <c r="B556" s="1" t="n"/>
      <c r="E556" s="13" t="n"/>
    </row>
    <row r="557" ht="15.75" customHeight="1" s="15">
      <c r="B557" s="1" t="n"/>
      <c r="E557" s="13" t="n"/>
    </row>
    <row r="558" ht="15.75" customHeight="1" s="15">
      <c r="B558" s="1" t="n"/>
      <c r="E558" s="13" t="n"/>
    </row>
    <row r="559" ht="15.75" customHeight="1" s="15">
      <c r="B559" s="1" t="n"/>
      <c r="E559" s="13" t="n"/>
    </row>
    <row r="560" ht="15.75" customHeight="1" s="15">
      <c r="B560" s="1" t="n"/>
      <c r="E560" s="13" t="n"/>
    </row>
    <row r="561" ht="15.75" customHeight="1" s="15">
      <c r="B561" s="1" t="n"/>
      <c r="E561" s="13" t="n"/>
    </row>
    <row r="562" ht="15.75" customHeight="1" s="15">
      <c r="B562" s="1" t="n"/>
      <c r="E562" s="13" t="n"/>
    </row>
    <row r="563" ht="15.75" customHeight="1" s="15">
      <c r="B563" s="1" t="n"/>
      <c r="E563" s="13" t="n"/>
    </row>
    <row r="564" ht="15.75" customHeight="1" s="15">
      <c r="B564" s="1" t="n"/>
      <c r="E564" s="13" t="n"/>
    </row>
    <row r="565" ht="15.75" customHeight="1" s="15">
      <c r="B565" s="1" t="n"/>
      <c r="E565" s="13" t="n"/>
    </row>
    <row r="566" ht="15.75" customHeight="1" s="15">
      <c r="B566" s="1" t="n"/>
      <c r="E566" s="13" t="n"/>
    </row>
    <row r="567" ht="15.75" customHeight="1" s="15">
      <c r="B567" s="1" t="n"/>
      <c r="E567" s="13" t="n"/>
    </row>
    <row r="568" ht="15.75" customHeight="1" s="15">
      <c r="B568" s="1" t="n"/>
      <c r="E568" s="13" t="n"/>
    </row>
    <row r="569" ht="15.75" customHeight="1" s="15">
      <c r="B569" s="1" t="n"/>
      <c r="E569" s="13" t="n"/>
    </row>
    <row r="570" ht="15.75" customHeight="1" s="15">
      <c r="B570" s="1" t="n"/>
      <c r="E570" s="13" t="n"/>
    </row>
    <row r="571" ht="15.75" customHeight="1" s="15">
      <c r="B571" s="1" t="n"/>
      <c r="E571" s="13" t="n"/>
    </row>
    <row r="572" ht="15.75" customHeight="1" s="15">
      <c r="B572" s="1" t="n"/>
      <c r="E572" s="13" t="n"/>
    </row>
    <row r="573" ht="15.75" customHeight="1" s="15">
      <c r="B573" s="1" t="n"/>
      <c r="E573" s="13" t="n"/>
    </row>
    <row r="574" ht="15.75" customHeight="1" s="15">
      <c r="B574" s="1" t="n"/>
      <c r="E574" s="13" t="n"/>
    </row>
    <row r="575" ht="15.75" customHeight="1" s="15">
      <c r="B575" s="1" t="n"/>
      <c r="E575" s="13" t="n"/>
    </row>
    <row r="576" ht="15.75" customHeight="1" s="15">
      <c r="B576" s="1" t="n"/>
      <c r="E576" s="13" t="n"/>
    </row>
    <row r="577" ht="15.75" customHeight="1" s="15">
      <c r="B577" s="1" t="n"/>
      <c r="E577" s="13" t="n"/>
    </row>
    <row r="578" ht="15.75" customHeight="1" s="15">
      <c r="B578" s="1" t="n"/>
      <c r="E578" s="13" t="n"/>
    </row>
    <row r="579" ht="15.75" customHeight="1" s="15">
      <c r="B579" s="1" t="n"/>
      <c r="E579" s="13" t="n"/>
    </row>
    <row r="580" ht="15.75" customHeight="1" s="15">
      <c r="B580" s="1" t="n"/>
      <c r="E580" s="13" t="n"/>
    </row>
    <row r="581" ht="15.75" customHeight="1" s="15">
      <c r="B581" s="1" t="n"/>
      <c r="E581" s="13" t="n"/>
    </row>
    <row r="582" ht="15.75" customHeight="1" s="15">
      <c r="B582" s="1" t="n"/>
      <c r="E582" s="13" t="n"/>
    </row>
    <row r="583" ht="15.75" customHeight="1" s="15">
      <c r="B583" s="1" t="n"/>
      <c r="E583" s="13" t="n"/>
    </row>
    <row r="584" ht="15.75" customHeight="1" s="15">
      <c r="B584" s="1" t="n"/>
      <c r="E584" s="13" t="n"/>
    </row>
    <row r="585" ht="15.75" customHeight="1" s="15">
      <c r="B585" s="1" t="n"/>
      <c r="E585" s="13" t="n"/>
    </row>
    <row r="586" ht="15.75" customHeight="1" s="15">
      <c r="B586" s="1" t="n"/>
      <c r="E586" s="13" t="n"/>
    </row>
    <row r="587" ht="15.75" customHeight="1" s="15">
      <c r="B587" s="1" t="n"/>
      <c r="E587" s="13" t="n"/>
    </row>
    <row r="588" ht="15.75" customHeight="1" s="15">
      <c r="B588" s="1" t="n"/>
      <c r="E588" s="13" t="n"/>
    </row>
    <row r="589" ht="15.75" customHeight="1" s="15">
      <c r="B589" s="1" t="n"/>
      <c r="E589" s="13" t="n"/>
    </row>
    <row r="590" ht="15.75" customHeight="1" s="15">
      <c r="B590" s="1" t="n"/>
      <c r="E590" s="13" t="n"/>
    </row>
    <row r="591" ht="15.75" customHeight="1" s="15">
      <c r="B591" s="1" t="n"/>
      <c r="E591" s="13" t="n"/>
    </row>
    <row r="592" ht="15.75" customHeight="1" s="15">
      <c r="B592" s="1" t="n"/>
      <c r="E592" s="13" t="n"/>
    </row>
    <row r="593" ht="15.75" customHeight="1" s="15">
      <c r="B593" s="1" t="n"/>
      <c r="E593" s="13" t="n"/>
    </row>
    <row r="594" ht="15.75" customHeight="1" s="15">
      <c r="B594" s="1" t="n"/>
      <c r="E594" s="13" t="n"/>
    </row>
    <row r="595" ht="15.75" customHeight="1" s="15">
      <c r="B595" s="1" t="n"/>
      <c r="E595" s="13" t="n"/>
    </row>
    <row r="596" ht="15.75" customHeight="1" s="15">
      <c r="B596" s="1" t="n"/>
      <c r="E596" s="13" t="n"/>
    </row>
    <row r="597" ht="15.75" customHeight="1" s="15">
      <c r="B597" s="1" t="n"/>
      <c r="E597" s="13" t="n"/>
    </row>
    <row r="598" ht="15.75" customHeight="1" s="15">
      <c r="B598" s="1" t="n"/>
      <c r="E598" s="13" t="n"/>
    </row>
    <row r="599" ht="15.75" customHeight="1" s="15">
      <c r="B599" s="1" t="n"/>
      <c r="E599" s="13" t="n"/>
    </row>
    <row r="600" ht="15.75" customHeight="1" s="15">
      <c r="B600" s="1" t="n"/>
      <c r="E600" s="13" t="n"/>
    </row>
    <row r="601" ht="15.75" customHeight="1" s="15">
      <c r="B601" s="1" t="n"/>
      <c r="E601" s="13" t="n"/>
    </row>
    <row r="602" ht="15.75" customHeight="1" s="15">
      <c r="B602" s="1" t="n"/>
      <c r="E602" s="13" t="n"/>
    </row>
    <row r="603" ht="15.75" customHeight="1" s="15">
      <c r="B603" s="1" t="n"/>
      <c r="E603" s="13" t="n"/>
    </row>
    <row r="604" ht="15.75" customHeight="1" s="15">
      <c r="B604" s="1" t="n"/>
      <c r="E604" s="13" t="n"/>
    </row>
    <row r="605" ht="15.75" customHeight="1" s="15">
      <c r="B605" s="1" t="n"/>
      <c r="E605" s="13" t="n"/>
    </row>
    <row r="606" ht="15.75" customHeight="1" s="15">
      <c r="B606" s="1" t="n"/>
      <c r="E606" s="13" t="n"/>
    </row>
    <row r="607" ht="15.75" customHeight="1" s="15">
      <c r="B607" s="1" t="n"/>
      <c r="E607" s="13" t="n"/>
    </row>
    <row r="608" ht="15.75" customHeight="1" s="15">
      <c r="B608" s="1" t="n"/>
      <c r="E608" s="13" t="n"/>
    </row>
    <row r="609" ht="15.75" customHeight="1" s="15">
      <c r="B609" s="1" t="n"/>
      <c r="E609" s="13" t="n"/>
    </row>
    <row r="610" ht="15.75" customHeight="1" s="15">
      <c r="B610" s="1" t="n"/>
      <c r="E610" s="13" t="n"/>
    </row>
    <row r="611" ht="15.75" customHeight="1" s="15">
      <c r="B611" s="1" t="n"/>
      <c r="E611" s="13" t="n"/>
    </row>
    <row r="612" ht="15.75" customHeight="1" s="15">
      <c r="B612" s="1" t="n"/>
      <c r="E612" s="13" t="n"/>
    </row>
    <row r="613" ht="15.75" customHeight="1" s="15">
      <c r="B613" s="1" t="n"/>
      <c r="E613" s="13" t="n"/>
    </row>
    <row r="614" ht="15.75" customHeight="1" s="15">
      <c r="B614" s="1" t="n"/>
      <c r="E614" s="13" t="n"/>
    </row>
    <row r="615" ht="15.75" customHeight="1" s="15">
      <c r="B615" s="1" t="n"/>
      <c r="E615" s="13" t="n"/>
    </row>
    <row r="616" ht="15.75" customHeight="1" s="15">
      <c r="B616" s="1" t="n"/>
      <c r="E616" s="13" t="n"/>
    </row>
    <row r="617" ht="15.75" customHeight="1" s="15">
      <c r="B617" s="1" t="n"/>
      <c r="E617" s="13" t="n"/>
    </row>
    <row r="618" ht="15.75" customHeight="1" s="15">
      <c r="B618" s="1" t="n"/>
      <c r="E618" s="13" t="n"/>
    </row>
    <row r="619" ht="15.75" customHeight="1" s="15">
      <c r="B619" s="1" t="n"/>
      <c r="E619" s="13" t="n"/>
    </row>
    <row r="620" ht="15.75" customHeight="1" s="15">
      <c r="B620" s="1" t="n"/>
      <c r="E620" s="13" t="n"/>
    </row>
    <row r="621" ht="15.75" customHeight="1" s="15">
      <c r="B621" s="1" t="n"/>
      <c r="E621" s="13" t="n"/>
    </row>
    <row r="622" ht="15.75" customHeight="1" s="15">
      <c r="B622" s="1" t="n"/>
      <c r="E622" s="13" t="n"/>
    </row>
    <row r="623" ht="15.75" customHeight="1" s="15">
      <c r="B623" s="1" t="n"/>
      <c r="E623" s="13" t="n"/>
    </row>
    <row r="624" ht="15.75" customHeight="1" s="15">
      <c r="B624" s="1" t="n"/>
      <c r="E624" s="13" t="n"/>
    </row>
    <row r="625" ht="15.75" customHeight="1" s="15">
      <c r="B625" s="1" t="n"/>
      <c r="E625" s="13" t="n"/>
    </row>
    <row r="626" ht="15.75" customHeight="1" s="15">
      <c r="B626" s="1" t="n"/>
      <c r="E626" s="13" t="n"/>
    </row>
    <row r="627" ht="15.75" customHeight="1" s="15">
      <c r="B627" s="1" t="n"/>
      <c r="E627" s="13" t="n"/>
    </row>
    <row r="628" ht="15.75" customHeight="1" s="15">
      <c r="B628" s="1" t="n"/>
      <c r="E628" s="13" t="n"/>
    </row>
    <row r="629" ht="15.75" customHeight="1" s="15">
      <c r="B629" s="1" t="n"/>
      <c r="E629" s="13" t="n"/>
    </row>
    <row r="630" ht="15.75" customHeight="1" s="15">
      <c r="B630" s="1" t="n"/>
      <c r="E630" s="13" t="n"/>
    </row>
    <row r="631" ht="15.75" customHeight="1" s="15">
      <c r="B631" s="1" t="n"/>
      <c r="E631" s="13" t="n"/>
    </row>
    <row r="632" ht="15.75" customHeight="1" s="15">
      <c r="B632" s="1" t="n"/>
      <c r="E632" s="13" t="n"/>
    </row>
    <row r="633" ht="15.75" customHeight="1" s="15">
      <c r="B633" s="1" t="n"/>
      <c r="E633" s="13" t="n"/>
    </row>
    <row r="634" ht="15.75" customHeight="1" s="15">
      <c r="B634" s="1" t="n"/>
      <c r="E634" s="13" t="n"/>
    </row>
    <row r="635" ht="15.75" customHeight="1" s="15">
      <c r="B635" s="1" t="n"/>
      <c r="E635" s="13" t="n"/>
    </row>
    <row r="636" ht="15.75" customHeight="1" s="15">
      <c r="B636" s="1" t="n"/>
      <c r="E636" s="13" t="n"/>
    </row>
    <row r="637" ht="15.75" customHeight="1" s="15">
      <c r="B637" s="1" t="n"/>
      <c r="E637" s="13" t="n"/>
    </row>
    <row r="638" ht="15.75" customHeight="1" s="15">
      <c r="B638" s="1" t="n"/>
      <c r="E638" s="13" t="n"/>
    </row>
    <row r="639" ht="15.75" customHeight="1" s="15">
      <c r="B639" s="1" t="n"/>
      <c r="E639" s="13" t="n"/>
    </row>
    <row r="640" ht="15.75" customHeight="1" s="15">
      <c r="B640" s="1" t="n"/>
      <c r="E640" s="13" t="n"/>
    </row>
    <row r="641" ht="15.75" customHeight="1" s="15">
      <c r="B641" s="1" t="n"/>
      <c r="E641" s="13" t="n"/>
    </row>
    <row r="642" ht="15.75" customHeight="1" s="15">
      <c r="B642" s="1" t="n"/>
      <c r="E642" s="13" t="n"/>
    </row>
    <row r="643" ht="15.75" customHeight="1" s="15">
      <c r="B643" s="1" t="n"/>
      <c r="E643" s="13" t="n"/>
    </row>
    <row r="644" ht="15.75" customHeight="1" s="15">
      <c r="B644" s="1" t="n"/>
      <c r="E644" s="13" t="n"/>
    </row>
    <row r="645" ht="15.75" customHeight="1" s="15">
      <c r="B645" s="1" t="n"/>
      <c r="E645" s="13" t="n"/>
    </row>
    <row r="646" ht="15.75" customHeight="1" s="15">
      <c r="B646" s="1" t="n"/>
      <c r="E646" s="13" t="n"/>
    </row>
    <row r="647" ht="15.75" customHeight="1" s="15">
      <c r="B647" s="1" t="n"/>
      <c r="E647" s="13" t="n"/>
    </row>
    <row r="648" ht="15.75" customHeight="1" s="15">
      <c r="B648" s="1" t="n"/>
      <c r="E648" s="13" t="n"/>
    </row>
    <row r="649" ht="15.75" customHeight="1" s="15">
      <c r="B649" s="1" t="n"/>
      <c r="E649" s="13" t="n"/>
    </row>
    <row r="650" ht="15.75" customHeight="1" s="15">
      <c r="B650" s="1" t="n"/>
      <c r="E650" s="13" t="n"/>
    </row>
    <row r="651" ht="15.75" customHeight="1" s="15">
      <c r="B651" s="1" t="n"/>
      <c r="E651" s="13" t="n"/>
    </row>
    <row r="652" ht="15.75" customHeight="1" s="15">
      <c r="B652" s="1" t="n"/>
      <c r="E652" s="13" t="n"/>
    </row>
    <row r="653" ht="15.75" customHeight="1" s="15">
      <c r="B653" s="1" t="n"/>
      <c r="E653" s="13" t="n"/>
    </row>
    <row r="654" ht="15.75" customHeight="1" s="15">
      <c r="B654" s="1" t="n"/>
      <c r="E654" s="13" t="n"/>
    </row>
    <row r="655" ht="15.75" customHeight="1" s="15">
      <c r="B655" s="1" t="n"/>
      <c r="E655" s="13" t="n"/>
    </row>
    <row r="656" ht="15.75" customHeight="1" s="15">
      <c r="B656" s="1" t="n"/>
      <c r="E656" s="13" t="n"/>
    </row>
    <row r="657" ht="15.75" customHeight="1" s="15">
      <c r="B657" s="1" t="n"/>
      <c r="E657" s="13" t="n"/>
    </row>
    <row r="658" ht="15.75" customHeight="1" s="15">
      <c r="B658" s="1" t="n"/>
      <c r="E658" s="13" t="n"/>
    </row>
    <row r="659" ht="15.75" customHeight="1" s="15">
      <c r="B659" s="1" t="n"/>
      <c r="E659" s="13" t="n"/>
    </row>
    <row r="660" ht="15.75" customHeight="1" s="15">
      <c r="B660" s="1" t="n"/>
      <c r="E660" s="13" t="n"/>
    </row>
    <row r="661" ht="15.75" customHeight="1" s="15">
      <c r="B661" s="1" t="n"/>
      <c r="E661" s="13" t="n"/>
    </row>
    <row r="662" ht="15.75" customHeight="1" s="15">
      <c r="B662" s="1" t="n"/>
      <c r="E662" s="13" t="n"/>
    </row>
    <row r="663" ht="15.75" customHeight="1" s="15">
      <c r="B663" s="1" t="n"/>
      <c r="E663" s="13" t="n"/>
    </row>
    <row r="664" ht="15.75" customHeight="1" s="15">
      <c r="B664" s="1" t="n"/>
      <c r="E664" s="13" t="n"/>
    </row>
    <row r="665" ht="15.75" customHeight="1" s="15">
      <c r="B665" s="1" t="n"/>
      <c r="E665" s="13" t="n"/>
    </row>
    <row r="666" ht="15.75" customHeight="1" s="15">
      <c r="B666" s="1" t="n"/>
      <c r="E666" s="13" t="n"/>
    </row>
    <row r="667" ht="15.75" customHeight="1" s="15">
      <c r="B667" s="1" t="n"/>
      <c r="E667" s="13" t="n"/>
    </row>
    <row r="668" ht="15.75" customHeight="1" s="15">
      <c r="B668" s="1" t="n"/>
      <c r="E668" s="13" t="n"/>
    </row>
    <row r="669" ht="15.75" customHeight="1" s="15">
      <c r="B669" s="1" t="n"/>
      <c r="E669" s="13" t="n"/>
    </row>
    <row r="670" ht="15.75" customHeight="1" s="15">
      <c r="B670" s="1" t="n"/>
      <c r="E670" s="13" t="n"/>
    </row>
    <row r="671" ht="15.75" customHeight="1" s="15">
      <c r="B671" s="1" t="n"/>
      <c r="E671" s="13" t="n"/>
    </row>
    <row r="672" ht="15.75" customHeight="1" s="15">
      <c r="B672" s="1" t="n"/>
      <c r="E672" s="13" t="n"/>
    </row>
    <row r="673" ht="15.75" customHeight="1" s="15">
      <c r="B673" s="1" t="n"/>
      <c r="E673" s="13" t="n"/>
    </row>
    <row r="674" ht="15.75" customHeight="1" s="15">
      <c r="B674" s="1" t="n"/>
      <c r="E674" s="13" t="n"/>
    </row>
    <row r="675" ht="15.75" customHeight="1" s="15">
      <c r="B675" s="1" t="n"/>
      <c r="E675" s="13" t="n"/>
    </row>
    <row r="676" ht="15.75" customHeight="1" s="15">
      <c r="B676" s="1" t="n"/>
      <c r="E676" s="13" t="n"/>
    </row>
    <row r="677" ht="15.75" customHeight="1" s="15">
      <c r="B677" s="1" t="n"/>
      <c r="E677" s="13" t="n"/>
    </row>
    <row r="678" ht="15.75" customHeight="1" s="15">
      <c r="B678" s="1" t="n"/>
      <c r="E678" s="13" t="n"/>
    </row>
    <row r="679" ht="15.75" customHeight="1" s="15">
      <c r="B679" s="1" t="n"/>
      <c r="E679" s="13" t="n"/>
    </row>
    <row r="680" ht="15.75" customHeight="1" s="15">
      <c r="B680" s="1" t="n"/>
      <c r="E680" s="13" t="n"/>
    </row>
    <row r="681" ht="15.75" customHeight="1" s="15">
      <c r="B681" s="1" t="n"/>
      <c r="E681" s="13" t="n"/>
    </row>
    <row r="682" ht="15.75" customHeight="1" s="15">
      <c r="B682" s="1" t="n"/>
      <c r="E682" s="13" t="n"/>
    </row>
    <row r="683" ht="15.75" customHeight="1" s="15">
      <c r="B683" s="1" t="n"/>
      <c r="E683" s="13" t="n"/>
    </row>
    <row r="684" ht="15.75" customHeight="1" s="15">
      <c r="B684" s="1" t="n"/>
      <c r="E684" s="13" t="n"/>
    </row>
    <row r="685" ht="15.75" customHeight="1" s="15">
      <c r="B685" s="1" t="n"/>
      <c r="E685" s="13" t="n"/>
    </row>
    <row r="686" ht="15.75" customHeight="1" s="15">
      <c r="B686" s="1" t="n"/>
      <c r="E686" s="13" t="n"/>
    </row>
    <row r="687" ht="15.75" customHeight="1" s="15">
      <c r="B687" s="1" t="n"/>
      <c r="E687" s="13" t="n"/>
    </row>
    <row r="688" ht="15.75" customHeight="1" s="15">
      <c r="B688" s="1" t="n"/>
      <c r="E688" s="13" t="n"/>
    </row>
    <row r="689" ht="15.75" customHeight="1" s="15">
      <c r="B689" s="1" t="n"/>
      <c r="E689" s="13" t="n"/>
    </row>
    <row r="690" ht="15.75" customHeight="1" s="15">
      <c r="B690" s="1" t="n"/>
      <c r="E690" s="13" t="n"/>
    </row>
    <row r="691" ht="15.75" customHeight="1" s="15">
      <c r="B691" s="1" t="n"/>
      <c r="E691" s="13" t="n"/>
    </row>
    <row r="692" ht="15.75" customHeight="1" s="15">
      <c r="B692" s="1" t="n"/>
      <c r="E692" s="13" t="n"/>
    </row>
    <row r="693" ht="15.75" customHeight="1" s="15">
      <c r="B693" s="1" t="n"/>
      <c r="E693" s="13" t="n"/>
    </row>
    <row r="694" ht="15.75" customHeight="1" s="15">
      <c r="B694" s="1" t="n"/>
      <c r="E694" s="13" t="n"/>
    </row>
    <row r="695" ht="15.75" customHeight="1" s="15">
      <c r="B695" s="1" t="n"/>
      <c r="E695" s="13" t="n"/>
    </row>
    <row r="696" ht="15.75" customHeight="1" s="15">
      <c r="B696" s="1" t="n"/>
      <c r="E696" s="13" t="n"/>
    </row>
    <row r="697" ht="15.75" customHeight="1" s="15">
      <c r="B697" s="1" t="n"/>
      <c r="E697" s="13" t="n"/>
    </row>
    <row r="698" ht="15.75" customHeight="1" s="15">
      <c r="B698" s="1" t="n"/>
      <c r="E698" s="13" t="n"/>
    </row>
    <row r="699" ht="15.75" customHeight="1" s="15">
      <c r="B699" s="1" t="n"/>
      <c r="E699" s="13" t="n"/>
    </row>
    <row r="700" ht="15.75" customHeight="1" s="15">
      <c r="B700" s="1" t="n"/>
      <c r="E700" s="13" t="n"/>
    </row>
    <row r="701" ht="15.75" customHeight="1" s="15">
      <c r="B701" s="1" t="n"/>
      <c r="E701" s="13" t="n"/>
    </row>
    <row r="702" ht="15.75" customHeight="1" s="15">
      <c r="B702" s="1" t="n"/>
      <c r="E702" s="13" t="n"/>
    </row>
    <row r="703" ht="15.75" customHeight="1" s="15">
      <c r="B703" s="1" t="n"/>
      <c r="E703" s="13" t="n"/>
    </row>
    <row r="704" ht="15.75" customHeight="1" s="15">
      <c r="B704" s="1" t="n"/>
      <c r="E704" s="13" t="n"/>
    </row>
    <row r="705" ht="15.75" customHeight="1" s="15">
      <c r="B705" s="1" t="n"/>
      <c r="E705" s="13" t="n"/>
    </row>
    <row r="706" ht="15.75" customHeight="1" s="15">
      <c r="B706" s="1" t="n"/>
      <c r="E706" s="13" t="n"/>
    </row>
    <row r="707" ht="15.75" customHeight="1" s="15">
      <c r="B707" s="1" t="n"/>
      <c r="E707" s="13" t="n"/>
    </row>
    <row r="708" ht="15.75" customHeight="1" s="15">
      <c r="B708" s="1" t="n"/>
      <c r="E708" s="13" t="n"/>
    </row>
    <row r="709" ht="15.75" customHeight="1" s="15">
      <c r="B709" s="1" t="n"/>
      <c r="E709" s="13" t="n"/>
    </row>
    <row r="710" ht="15.75" customHeight="1" s="15">
      <c r="B710" s="1" t="n"/>
      <c r="E710" s="13" t="n"/>
    </row>
    <row r="711" ht="15.75" customHeight="1" s="15">
      <c r="B711" s="1" t="n"/>
      <c r="E711" s="13" t="n"/>
    </row>
    <row r="712" ht="15.75" customHeight="1" s="15">
      <c r="B712" s="1" t="n"/>
      <c r="E712" s="13" t="n"/>
    </row>
    <row r="713" ht="15.75" customHeight="1" s="15">
      <c r="B713" s="1" t="n"/>
      <c r="E713" s="13" t="n"/>
    </row>
    <row r="714" ht="15.75" customHeight="1" s="15">
      <c r="B714" s="1" t="n"/>
      <c r="E714" s="13" t="n"/>
    </row>
    <row r="715" ht="15.75" customHeight="1" s="15">
      <c r="B715" s="1" t="n"/>
      <c r="E715" s="13" t="n"/>
    </row>
    <row r="716" ht="15.75" customHeight="1" s="15">
      <c r="B716" s="1" t="n"/>
      <c r="E716" s="13" t="n"/>
    </row>
    <row r="717" ht="15.75" customHeight="1" s="15">
      <c r="B717" s="1" t="n"/>
      <c r="E717" s="13" t="n"/>
    </row>
    <row r="718" ht="15.75" customHeight="1" s="15">
      <c r="B718" s="1" t="n"/>
      <c r="E718" s="13" t="n"/>
    </row>
    <row r="719" ht="15.75" customHeight="1" s="15">
      <c r="B719" s="1" t="n"/>
      <c r="E719" s="13" t="n"/>
    </row>
    <row r="720" ht="15.75" customHeight="1" s="15">
      <c r="B720" s="1" t="n"/>
      <c r="E720" s="13" t="n"/>
    </row>
    <row r="721" ht="15.75" customHeight="1" s="15">
      <c r="B721" s="1" t="n"/>
      <c r="E721" s="13" t="n"/>
    </row>
    <row r="722" ht="15.75" customHeight="1" s="15">
      <c r="B722" s="1" t="n"/>
      <c r="E722" s="13" t="n"/>
    </row>
    <row r="723" ht="15.75" customHeight="1" s="15">
      <c r="B723" s="1" t="n"/>
      <c r="E723" s="13" t="n"/>
    </row>
    <row r="724" ht="15.75" customHeight="1" s="15">
      <c r="B724" s="1" t="n"/>
      <c r="E724" s="13" t="n"/>
    </row>
    <row r="725" ht="15.75" customHeight="1" s="15">
      <c r="B725" s="1" t="n"/>
      <c r="E725" s="13" t="n"/>
    </row>
    <row r="726" ht="15.75" customHeight="1" s="15">
      <c r="B726" s="1" t="n"/>
      <c r="E726" s="13" t="n"/>
    </row>
    <row r="727" ht="15.75" customHeight="1" s="15">
      <c r="B727" s="1" t="n"/>
      <c r="E727" s="13" t="n"/>
    </row>
    <row r="728" ht="15.75" customHeight="1" s="15">
      <c r="B728" s="1" t="n"/>
      <c r="E728" s="13" t="n"/>
    </row>
    <row r="729" ht="15.75" customHeight="1" s="15">
      <c r="B729" s="1" t="n"/>
      <c r="E729" s="13" t="n"/>
    </row>
    <row r="730" ht="15.75" customHeight="1" s="15">
      <c r="B730" s="1" t="n"/>
      <c r="E730" s="13" t="n"/>
    </row>
    <row r="731" ht="15.75" customHeight="1" s="15">
      <c r="B731" s="1" t="n"/>
      <c r="E731" s="13" t="n"/>
    </row>
    <row r="732" ht="15.75" customHeight="1" s="15">
      <c r="B732" s="1" t="n"/>
      <c r="E732" s="13" t="n"/>
    </row>
    <row r="733" ht="15.75" customHeight="1" s="15">
      <c r="B733" s="1" t="n"/>
      <c r="E733" s="13" t="n"/>
    </row>
    <row r="734" ht="15.75" customHeight="1" s="15">
      <c r="B734" s="1" t="n"/>
      <c r="E734" s="13" t="n"/>
    </row>
    <row r="735" ht="15.75" customHeight="1" s="15">
      <c r="B735" s="1" t="n"/>
      <c r="E735" s="13" t="n"/>
    </row>
    <row r="736" ht="15.75" customHeight="1" s="15">
      <c r="B736" s="1" t="n"/>
      <c r="E736" s="13" t="n"/>
    </row>
    <row r="737" ht="15.75" customHeight="1" s="15">
      <c r="B737" s="1" t="n"/>
      <c r="E737" s="13" t="n"/>
    </row>
    <row r="738" ht="15.75" customHeight="1" s="15">
      <c r="B738" s="1" t="n"/>
      <c r="E738" s="13" t="n"/>
    </row>
    <row r="739" ht="15.75" customHeight="1" s="15">
      <c r="B739" s="1" t="n"/>
      <c r="E739" s="13" t="n"/>
    </row>
    <row r="740" ht="15.75" customHeight="1" s="15">
      <c r="B740" s="1" t="n"/>
      <c r="E740" s="13" t="n"/>
    </row>
    <row r="741" ht="15.75" customHeight="1" s="15">
      <c r="B741" s="1" t="n"/>
      <c r="E741" s="13" t="n"/>
    </row>
    <row r="742" ht="15.75" customHeight="1" s="15">
      <c r="B742" s="1" t="n"/>
      <c r="E742" s="13" t="n"/>
    </row>
    <row r="743" ht="15.75" customHeight="1" s="15">
      <c r="B743" s="1" t="n"/>
      <c r="E743" s="13" t="n"/>
    </row>
    <row r="744" ht="15.75" customHeight="1" s="15">
      <c r="B744" s="1" t="n"/>
      <c r="E744" s="13" t="n"/>
    </row>
    <row r="745" ht="15.75" customHeight="1" s="15">
      <c r="B745" s="1" t="n"/>
      <c r="E745" s="13" t="n"/>
    </row>
    <row r="746" ht="15.75" customHeight="1" s="15">
      <c r="B746" s="1" t="n"/>
      <c r="E746" s="13" t="n"/>
    </row>
    <row r="747" ht="15.75" customHeight="1" s="15">
      <c r="B747" s="1" t="n"/>
      <c r="E747" s="13" t="n"/>
    </row>
    <row r="748" ht="15.75" customHeight="1" s="15">
      <c r="B748" s="1" t="n"/>
      <c r="E748" s="13" t="n"/>
    </row>
    <row r="749" ht="15.75" customHeight="1" s="15">
      <c r="B749" s="1" t="n"/>
      <c r="E749" s="13" t="n"/>
    </row>
    <row r="750" ht="15.75" customHeight="1" s="15">
      <c r="B750" s="1" t="n"/>
      <c r="E750" s="13" t="n"/>
    </row>
    <row r="751" ht="15.75" customHeight="1" s="15">
      <c r="B751" s="1" t="n"/>
      <c r="E751" s="13" t="n"/>
    </row>
    <row r="752" ht="15.75" customHeight="1" s="15">
      <c r="B752" s="1" t="n"/>
      <c r="E752" s="13" t="n"/>
    </row>
    <row r="753" ht="15.75" customHeight="1" s="15">
      <c r="B753" s="1" t="n"/>
      <c r="E753" s="13" t="n"/>
    </row>
    <row r="754" ht="15.75" customHeight="1" s="15">
      <c r="B754" s="1" t="n"/>
      <c r="E754" s="13" t="n"/>
    </row>
    <row r="755" ht="15.75" customHeight="1" s="15">
      <c r="B755" s="1" t="n"/>
      <c r="E755" s="13" t="n"/>
    </row>
    <row r="756" ht="15.75" customHeight="1" s="15">
      <c r="B756" s="1" t="n"/>
      <c r="E756" s="13" t="n"/>
    </row>
    <row r="757" ht="15.75" customHeight="1" s="15">
      <c r="B757" s="1" t="n"/>
      <c r="E757" s="13" t="n"/>
    </row>
    <row r="758" ht="15.75" customHeight="1" s="15">
      <c r="B758" s="1" t="n"/>
      <c r="E758" s="13" t="n"/>
    </row>
    <row r="759" ht="15.75" customHeight="1" s="15">
      <c r="B759" s="1" t="n"/>
      <c r="E759" s="13" t="n"/>
    </row>
    <row r="760" ht="15.75" customHeight="1" s="15">
      <c r="B760" s="1" t="n"/>
      <c r="E760" s="13" t="n"/>
    </row>
    <row r="761" ht="15.75" customHeight="1" s="15">
      <c r="B761" s="1" t="n"/>
      <c r="E761" s="13" t="n"/>
    </row>
    <row r="762" ht="15.75" customHeight="1" s="15">
      <c r="B762" s="1" t="n"/>
      <c r="E762" s="13" t="n"/>
    </row>
    <row r="763" ht="15.75" customHeight="1" s="15">
      <c r="B763" s="1" t="n"/>
      <c r="E763" s="13" t="n"/>
    </row>
    <row r="764" ht="15.75" customHeight="1" s="15">
      <c r="B764" s="1" t="n"/>
      <c r="E764" s="13" t="n"/>
    </row>
    <row r="765" ht="15.75" customHeight="1" s="15">
      <c r="B765" s="1" t="n"/>
      <c r="E765" s="13" t="n"/>
    </row>
    <row r="766" ht="15.75" customHeight="1" s="15">
      <c r="B766" s="1" t="n"/>
      <c r="E766" s="13" t="n"/>
    </row>
    <row r="767" ht="15.75" customHeight="1" s="15">
      <c r="B767" s="1" t="n"/>
      <c r="E767" s="13" t="n"/>
    </row>
    <row r="768" ht="15.75" customHeight="1" s="15">
      <c r="B768" s="1" t="n"/>
      <c r="E768" s="13" t="n"/>
    </row>
    <row r="769" ht="15.75" customHeight="1" s="15">
      <c r="B769" s="1" t="n"/>
      <c r="E769" s="13" t="n"/>
    </row>
    <row r="770" ht="15.75" customHeight="1" s="15">
      <c r="B770" s="1" t="n"/>
      <c r="E770" s="13" t="n"/>
    </row>
    <row r="771" ht="15.75" customHeight="1" s="15">
      <c r="B771" s="1" t="n"/>
      <c r="E771" s="13" t="n"/>
    </row>
    <row r="772" ht="15.75" customHeight="1" s="15">
      <c r="B772" s="1" t="n"/>
      <c r="E772" s="13" t="n"/>
    </row>
    <row r="773" ht="15.75" customHeight="1" s="15">
      <c r="B773" s="1" t="n"/>
      <c r="E773" s="13" t="n"/>
    </row>
    <row r="774" ht="15.75" customHeight="1" s="15">
      <c r="B774" s="1" t="n"/>
      <c r="E774" s="13" t="n"/>
    </row>
    <row r="775" ht="15.75" customHeight="1" s="15">
      <c r="B775" s="1" t="n"/>
      <c r="E775" s="13" t="n"/>
    </row>
    <row r="776" ht="15.75" customHeight="1" s="15">
      <c r="B776" s="1" t="n"/>
      <c r="E776" s="13" t="n"/>
    </row>
    <row r="777" ht="15.75" customHeight="1" s="15">
      <c r="B777" s="1" t="n"/>
      <c r="E777" s="13" t="n"/>
    </row>
    <row r="778" ht="15.75" customHeight="1" s="15">
      <c r="B778" s="1" t="n"/>
      <c r="E778" s="13" t="n"/>
    </row>
    <row r="779" ht="15.75" customHeight="1" s="15">
      <c r="B779" s="1" t="n"/>
      <c r="E779" s="13" t="n"/>
    </row>
    <row r="780" ht="15.75" customHeight="1" s="15">
      <c r="B780" s="1" t="n"/>
      <c r="E780" s="13" t="n"/>
    </row>
    <row r="781" ht="15.75" customHeight="1" s="15">
      <c r="B781" s="1" t="n"/>
      <c r="E781" s="13" t="n"/>
    </row>
    <row r="782" ht="15.75" customHeight="1" s="15">
      <c r="B782" s="1" t="n"/>
      <c r="E782" s="13" t="n"/>
    </row>
    <row r="783" ht="15.75" customHeight="1" s="15">
      <c r="B783" s="1" t="n"/>
      <c r="E783" s="13" t="n"/>
    </row>
    <row r="784" ht="15.75" customHeight="1" s="15">
      <c r="B784" s="1" t="n"/>
      <c r="E784" s="13" t="n"/>
    </row>
    <row r="785" ht="15.75" customHeight="1" s="15">
      <c r="B785" s="1" t="n"/>
      <c r="E785" s="13" t="n"/>
    </row>
    <row r="786" ht="15.75" customHeight="1" s="15">
      <c r="B786" s="1" t="n"/>
      <c r="E786" s="13" t="n"/>
    </row>
    <row r="787" ht="15.75" customHeight="1" s="15">
      <c r="B787" s="1" t="n"/>
      <c r="E787" s="13" t="n"/>
    </row>
    <row r="788" ht="15.75" customHeight="1" s="15">
      <c r="B788" s="1" t="n"/>
      <c r="E788" s="13" t="n"/>
    </row>
    <row r="789" ht="15.75" customHeight="1" s="15">
      <c r="B789" s="1" t="n"/>
      <c r="E789" s="13" t="n"/>
    </row>
    <row r="790" ht="15.75" customHeight="1" s="15">
      <c r="B790" s="1" t="n"/>
      <c r="E790" s="13" t="n"/>
    </row>
    <row r="791" ht="15.75" customHeight="1" s="15">
      <c r="B791" s="1" t="n"/>
      <c r="E791" s="13" t="n"/>
    </row>
    <row r="792" ht="15.75" customHeight="1" s="15">
      <c r="B792" s="1" t="n"/>
      <c r="E792" s="13" t="n"/>
    </row>
    <row r="793" ht="15.75" customHeight="1" s="15">
      <c r="B793" s="1" t="n"/>
      <c r="E793" s="13" t="n"/>
    </row>
    <row r="794" ht="15.75" customHeight="1" s="15">
      <c r="B794" s="1" t="n"/>
      <c r="E794" s="13" t="n"/>
    </row>
    <row r="795" ht="15.75" customHeight="1" s="15">
      <c r="B795" s="1" t="n"/>
      <c r="E795" s="13" t="n"/>
    </row>
    <row r="796" ht="15.75" customHeight="1" s="15">
      <c r="B796" s="1" t="n"/>
      <c r="E796" s="13" t="n"/>
    </row>
    <row r="797" ht="15.75" customHeight="1" s="15">
      <c r="B797" s="1" t="n"/>
      <c r="E797" s="13" t="n"/>
    </row>
    <row r="798" ht="15.75" customHeight="1" s="15">
      <c r="B798" s="1" t="n"/>
      <c r="E798" s="13" t="n"/>
    </row>
    <row r="799" ht="15.75" customHeight="1" s="15">
      <c r="B799" s="1" t="n"/>
      <c r="E799" s="13" t="n"/>
    </row>
    <row r="800" ht="15.75" customHeight="1" s="15">
      <c r="B800" s="1" t="n"/>
      <c r="E800" s="13" t="n"/>
    </row>
    <row r="801" ht="15.75" customHeight="1" s="15">
      <c r="B801" s="1" t="n"/>
      <c r="E801" s="13" t="n"/>
    </row>
    <row r="802" ht="15.75" customHeight="1" s="15">
      <c r="B802" s="1" t="n"/>
      <c r="E802" s="13" t="n"/>
    </row>
    <row r="803" ht="15.75" customHeight="1" s="15">
      <c r="B803" s="1" t="n"/>
      <c r="E803" s="13" t="n"/>
    </row>
    <row r="804" ht="15.75" customHeight="1" s="15">
      <c r="B804" s="1" t="n"/>
      <c r="E804" s="13" t="n"/>
    </row>
    <row r="805" ht="15.75" customHeight="1" s="15">
      <c r="B805" s="1" t="n"/>
      <c r="E805" s="13" t="n"/>
    </row>
    <row r="806" ht="15.75" customHeight="1" s="15">
      <c r="B806" s="1" t="n"/>
      <c r="E806" s="13" t="n"/>
    </row>
    <row r="807" ht="15.75" customHeight="1" s="15">
      <c r="B807" s="1" t="n"/>
      <c r="E807" s="13" t="n"/>
    </row>
    <row r="808" ht="15.75" customHeight="1" s="15">
      <c r="B808" s="1" t="n"/>
      <c r="E808" s="13" t="n"/>
    </row>
    <row r="809" ht="15.75" customHeight="1" s="15">
      <c r="B809" s="1" t="n"/>
      <c r="E809" s="13" t="n"/>
    </row>
    <row r="810" ht="15.75" customHeight="1" s="15">
      <c r="B810" s="1" t="n"/>
      <c r="E810" s="13" t="n"/>
    </row>
    <row r="811" ht="15.75" customHeight="1" s="15">
      <c r="B811" s="1" t="n"/>
      <c r="E811" s="13" t="n"/>
    </row>
    <row r="812" ht="15.75" customHeight="1" s="15">
      <c r="B812" s="1" t="n"/>
      <c r="E812" s="13" t="n"/>
    </row>
    <row r="813" ht="15.75" customHeight="1" s="15">
      <c r="B813" s="1" t="n"/>
      <c r="E813" s="13" t="n"/>
    </row>
    <row r="814" ht="15.75" customHeight="1" s="15">
      <c r="B814" s="1" t="n"/>
      <c r="E814" s="13" t="n"/>
    </row>
    <row r="815" ht="15.75" customHeight="1" s="15">
      <c r="B815" s="1" t="n"/>
      <c r="E815" s="13" t="n"/>
    </row>
    <row r="816" ht="15.75" customHeight="1" s="15">
      <c r="B816" s="1" t="n"/>
      <c r="E816" s="13" t="n"/>
    </row>
    <row r="817" ht="15.75" customHeight="1" s="15">
      <c r="B817" s="1" t="n"/>
      <c r="E817" s="13" t="n"/>
    </row>
    <row r="818" ht="15.75" customHeight="1" s="15">
      <c r="B818" s="1" t="n"/>
      <c r="E818" s="13" t="n"/>
    </row>
    <row r="819" ht="15.75" customHeight="1" s="15">
      <c r="B819" s="1" t="n"/>
      <c r="E819" s="13" t="n"/>
    </row>
    <row r="820" ht="15.75" customHeight="1" s="15">
      <c r="B820" s="1" t="n"/>
      <c r="E820" s="13" t="n"/>
    </row>
    <row r="821" ht="15.75" customHeight="1" s="15">
      <c r="B821" s="1" t="n"/>
      <c r="E821" s="13" t="n"/>
    </row>
    <row r="822" ht="15.75" customHeight="1" s="15">
      <c r="B822" s="1" t="n"/>
      <c r="E822" s="13" t="n"/>
    </row>
    <row r="823" ht="15.75" customHeight="1" s="15">
      <c r="B823" s="1" t="n"/>
      <c r="E823" s="13" t="n"/>
    </row>
    <row r="824" ht="15.75" customHeight="1" s="15">
      <c r="B824" s="1" t="n"/>
      <c r="E824" s="13" t="n"/>
    </row>
    <row r="825" ht="15.75" customHeight="1" s="15">
      <c r="B825" s="1" t="n"/>
      <c r="E825" s="13" t="n"/>
    </row>
    <row r="826" ht="15.75" customHeight="1" s="15">
      <c r="B826" s="1" t="n"/>
      <c r="E826" s="13" t="n"/>
    </row>
    <row r="827" ht="15.75" customHeight="1" s="15">
      <c r="B827" s="1" t="n"/>
      <c r="E827" s="13" t="n"/>
    </row>
    <row r="828" ht="15.75" customHeight="1" s="15">
      <c r="B828" s="1" t="n"/>
      <c r="E828" s="13" t="n"/>
    </row>
    <row r="829" ht="15.75" customHeight="1" s="15">
      <c r="B829" s="1" t="n"/>
      <c r="E829" s="13" t="n"/>
    </row>
    <row r="830" ht="15.75" customHeight="1" s="15">
      <c r="B830" s="1" t="n"/>
      <c r="E830" s="13" t="n"/>
    </row>
    <row r="831" ht="15.75" customHeight="1" s="15">
      <c r="B831" s="1" t="n"/>
      <c r="E831" s="13" t="n"/>
    </row>
    <row r="832" ht="15.75" customHeight="1" s="15">
      <c r="B832" s="1" t="n"/>
      <c r="E832" s="13" t="n"/>
    </row>
    <row r="833" ht="15.75" customHeight="1" s="15">
      <c r="B833" s="1" t="n"/>
      <c r="E833" s="13" t="n"/>
    </row>
    <row r="834" ht="15.75" customHeight="1" s="15">
      <c r="B834" s="1" t="n"/>
      <c r="E834" s="13" t="n"/>
    </row>
    <row r="835" ht="15.75" customHeight="1" s="15">
      <c r="B835" s="1" t="n"/>
      <c r="E835" s="13" t="n"/>
    </row>
    <row r="836" ht="15.75" customHeight="1" s="15">
      <c r="B836" s="1" t="n"/>
      <c r="E836" s="13" t="n"/>
    </row>
    <row r="837" ht="15.75" customHeight="1" s="15">
      <c r="B837" s="1" t="n"/>
      <c r="E837" s="13" t="n"/>
    </row>
    <row r="838" ht="15.75" customHeight="1" s="15">
      <c r="B838" s="1" t="n"/>
      <c r="E838" s="13" t="n"/>
    </row>
    <row r="839" ht="15.75" customHeight="1" s="15">
      <c r="B839" s="1" t="n"/>
      <c r="E839" s="13" t="n"/>
    </row>
    <row r="840" ht="15.75" customHeight="1" s="15">
      <c r="B840" s="1" t="n"/>
      <c r="E840" s="13" t="n"/>
    </row>
    <row r="841" ht="15.75" customHeight="1" s="15">
      <c r="B841" s="1" t="n"/>
      <c r="E841" s="13" t="n"/>
    </row>
    <row r="842" ht="15.75" customHeight="1" s="15">
      <c r="B842" s="1" t="n"/>
      <c r="E842" s="13" t="n"/>
    </row>
    <row r="843" ht="15.75" customHeight="1" s="15">
      <c r="B843" s="1" t="n"/>
      <c r="E843" s="13" t="n"/>
    </row>
    <row r="844" ht="15.75" customHeight="1" s="15">
      <c r="B844" s="1" t="n"/>
      <c r="E844" s="13" t="n"/>
    </row>
    <row r="845" ht="15.75" customHeight="1" s="15">
      <c r="B845" s="1" t="n"/>
      <c r="E845" s="13" t="n"/>
    </row>
    <row r="846" ht="15.75" customHeight="1" s="15">
      <c r="B846" s="1" t="n"/>
      <c r="E846" s="13" t="n"/>
    </row>
    <row r="847" ht="15.75" customHeight="1" s="15">
      <c r="B847" s="1" t="n"/>
      <c r="E847" s="13" t="n"/>
    </row>
    <row r="848" ht="15.75" customHeight="1" s="15">
      <c r="B848" s="1" t="n"/>
      <c r="E848" s="13" t="n"/>
    </row>
    <row r="849" ht="15.75" customHeight="1" s="15">
      <c r="B849" s="1" t="n"/>
      <c r="E849" s="13" t="n"/>
    </row>
    <row r="850" ht="15.75" customHeight="1" s="15">
      <c r="B850" s="1" t="n"/>
      <c r="E850" s="13" t="n"/>
    </row>
    <row r="851" ht="15.75" customHeight="1" s="15">
      <c r="B851" s="1" t="n"/>
      <c r="E851" s="13" t="n"/>
    </row>
    <row r="852" ht="15.75" customHeight="1" s="15">
      <c r="B852" s="1" t="n"/>
      <c r="E852" s="13" t="n"/>
    </row>
    <row r="853" ht="15.75" customHeight="1" s="15">
      <c r="B853" s="1" t="n"/>
      <c r="E853" s="13" t="n"/>
    </row>
    <row r="854" ht="15.75" customHeight="1" s="15">
      <c r="B854" s="1" t="n"/>
      <c r="E854" s="13" t="n"/>
    </row>
    <row r="855" ht="15.75" customHeight="1" s="15">
      <c r="B855" s="1" t="n"/>
      <c r="E855" s="13" t="n"/>
    </row>
    <row r="856" ht="15.75" customHeight="1" s="15">
      <c r="B856" s="1" t="n"/>
      <c r="E856" s="13" t="n"/>
    </row>
    <row r="857" ht="15.75" customHeight="1" s="15">
      <c r="B857" s="1" t="n"/>
      <c r="E857" s="13" t="n"/>
    </row>
    <row r="858" ht="15.75" customHeight="1" s="15">
      <c r="B858" s="1" t="n"/>
      <c r="E858" s="13" t="n"/>
    </row>
    <row r="859" ht="15.75" customHeight="1" s="15">
      <c r="B859" s="1" t="n"/>
      <c r="E859" s="13" t="n"/>
    </row>
    <row r="860" ht="15.75" customHeight="1" s="15">
      <c r="B860" s="1" t="n"/>
      <c r="E860" s="13" t="n"/>
    </row>
    <row r="861" ht="15.75" customHeight="1" s="15">
      <c r="B861" s="1" t="n"/>
      <c r="E861" s="13" t="n"/>
    </row>
    <row r="862" ht="15.75" customHeight="1" s="15">
      <c r="B862" s="1" t="n"/>
      <c r="E862" s="13" t="n"/>
    </row>
    <row r="863" ht="15.75" customHeight="1" s="15">
      <c r="B863" s="1" t="n"/>
      <c r="E863" s="13" t="n"/>
    </row>
    <row r="864" ht="15.75" customHeight="1" s="15">
      <c r="B864" s="1" t="n"/>
      <c r="E864" s="13" t="n"/>
    </row>
    <row r="865" ht="15.75" customHeight="1" s="15">
      <c r="B865" s="1" t="n"/>
      <c r="E865" s="13" t="n"/>
    </row>
    <row r="866" ht="15.75" customHeight="1" s="15">
      <c r="B866" s="1" t="n"/>
      <c r="E866" s="13" t="n"/>
    </row>
    <row r="867" ht="15.75" customHeight="1" s="15">
      <c r="B867" s="1" t="n"/>
      <c r="E867" s="13" t="n"/>
    </row>
    <row r="868" ht="15.75" customHeight="1" s="15">
      <c r="B868" s="1" t="n"/>
      <c r="E868" s="13" t="n"/>
    </row>
    <row r="869" ht="15.75" customHeight="1" s="15">
      <c r="B869" s="1" t="n"/>
      <c r="E869" s="13" t="n"/>
    </row>
    <row r="870" ht="15.75" customHeight="1" s="15">
      <c r="B870" s="1" t="n"/>
      <c r="E870" s="13" t="n"/>
    </row>
    <row r="871" ht="15.75" customHeight="1" s="15">
      <c r="B871" s="1" t="n"/>
      <c r="E871" s="13" t="n"/>
    </row>
    <row r="872" ht="15.75" customHeight="1" s="15">
      <c r="B872" s="1" t="n"/>
      <c r="E872" s="13" t="n"/>
    </row>
    <row r="873" ht="15.75" customHeight="1" s="15">
      <c r="B873" s="1" t="n"/>
      <c r="E873" s="13" t="n"/>
    </row>
    <row r="874" ht="15.75" customHeight="1" s="15">
      <c r="B874" s="1" t="n"/>
      <c r="E874" s="13" t="n"/>
    </row>
    <row r="875" ht="15.75" customHeight="1" s="15">
      <c r="B875" s="1" t="n"/>
      <c r="E875" s="13" t="n"/>
    </row>
    <row r="876" ht="15.75" customHeight="1" s="15">
      <c r="B876" s="1" t="n"/>
      <c r="E876" s="13" t="n"/>
    </row>
    <row r="877" ht="15.75" customHeight="1" s="15">
      <c r="B877" s="1" t="n"/>
      <c r="E877" s="13" t="n"/>
    </row>
    <row r="878" ht="15.75" customHeight="1" s="15">
      <c r="B878" s="1" t="n"/>
      <c r="E878" s="13" t="n"/>
    </row>
    <row r="879" ht="15.75" customHeight="1" s="15">
      <c r="B879" s="1" t="n"/>
      <c r="E879" s="13" t="n"/>
    </row>
    <row r="880" ht="15.75" customHeight="1" s="15">
      <c r="B880" s="1" t="n"/>
      <c r="E880" s="13" t="n"/>
    </row>
    <row r="881" ht="15.75" customHeight="1" s="15">
      <c r="B881" s="1" t="n"/>
      <c r="E881" s="13" t="n"/>
    </row>
    <row r="882" ht="15.75" customHeight="1" s="15">
      <c r="B882" s="1" t="n"/>
      <c r="E882" s="13" t="n"/>
    </row>
    <row r="883" ht="15.75" customHeight="1" s="15">
      <c r="B883" s="1" t="n"/>
      <c r="E883" s="13" t="n"/>
    </row>
    <row r="884" ht="15.75" customHeight="1" s="15">
      <c r="B884" s="1" t="n"/>
      <c r="E884" s="13" t="n"/>
    </row>
    <row r="885" ht="15.75" customHeight="1" s="15">
      <c r="B885" s="1" t="n"/>
      <c r="E885" s="13" t="n"/>
    </row>
    <row r="886" ht="15.75" customHeight="1" s="15">
      <c r="B886" s="1" t="n"/>
      <c r="E886" s="13" t="n"/>
    </row>
    <row r="887" ht="15.75" customHeight="1" s="15">
      <c r="B887" s="1" t="n"/>
      <c r="E887" s="13" t="n"/>
    </row>
    <row r="888" ht="15.75" customHeight="1" s="15">
      <c r="B888" s="1" t="n"/>
      <c r="E888" s="13" t="n"/>
    </row>
    <row r="889" ht="15.75" customHeight="1" s="15">
      <c r="B889" s="1" t="n"/>
      <c r="E889" s="13" t="n"/>
    </row>
    <row r="890" ht="15.75" customHeight="1" s="15">
      <c r="B890" s="1" t="n"/>
      <c r="E890" s="13" t="n"/>
    </row>
    <row r="891" ht="15.75" customHeight="1" s="15">
      <c r="B891" s="1" t="n"/>
      <c r="E891" s="13" t="n"/>
    </row>
    <row r="892" ht="15.75" customHeight="1" s="15">
      <c r="B892" s="1" t="n"/>
      <c r="E892" s="13" t="n"/>
    </row>
    <row r="893" ht="15.75" customHeight="1" s="15">
      <c r="B893" s="1" t="n"/>
      <c r="E893" s="13" t="n"/>
    </row>
    <row r="894" ht="15.75" customHeight="1" s="15">
      <c r="B894" s="1" t="n"/>
      <c r="E894" s="13" t="n"/>
    </row>
    <row r="895" ht="15.75" customHeight="1" s="15">
      <c r="B895" s="1" t="n"/>
      <c r="E895" s="13" t="n"/>
    </row>
    <row r="896" ht="15.75" customHeight="1" s="15">
      <c r="B896" s="1" t="n"/>
      <c r="E896" s="13" t="n"/>
    </row>
    <row r="897" ht="15.75" customHeight="1" s="15">
      <c r="B897" s="1" t="n"/>
      <c r="E897" s="13" t="n"/>
    </row>
    <row r="898" ht="15.75" customHeight="1" s="15">
      <c r="B898" s="1" t="n"/>
      <c r="E898" s="13" t="n"/>
    </row>
    <row r="899" ht="15.75" customHeight="1" s="15">
      <c r="B899" s="1" t="n"/>
      <c r="E899" s="13" t="n"/>
    </row>
    <row r="900" ht="15.75" customHeight="1" s="15">
      <c r="B900" s="1" t="n"/>
      <c r="E900" s="13" t="n"/>
    </row>
    <row r="901" ht="15.75" customHeight="1" s="15">
      <c r="B901" s="1" t="n"/>
      <c r="E901" s="13" t="n"/>
    </row>
    <row r="902" ht="15.75" customHeight="1" s="15">
      <c r="B902" s="1" t="n"/>
      <c r="E902" s="13" t="n"/>
    </row>
    <row r="903" ht="15.75" customHeight="1" s="15">
      <c r="B903" s="1" t="n"/>
      <c r="E903" s="13" t="n"/>
    </row>
    <row r="904" ht="15.75" customHeight="1" s="15">
      <c r="B904" s="1" t="n"/>
      <c r="E904" s="13" t="n"/>
    </row>
    <row r="905" ht="15.75" customHeight="1" s="15">
      <c r="B905" s="1" t="n"/>
      <c r="E905" s="13" t="n"/>
    </row>
    <row r="906" ht="15.75" customHeight="1" s="15">
      <c r="B906" s="1" t="n"/>
      <c r="E906" s="13" t="n"/>
    </row>
    <row r="907" ht="15.75" customHeight="1" s="15">
      <c r="B907" s="1" t="n"/>
      <c r="E907" s="13" t="n"/>
    </row>
    <row r="908" ht="15.75" customHeight="1" s="15">
      <c r="B908" s="1" t="n"/>
      <c r="E908" s="13" t="n"/>
    </row>
    <row r="909" ht="15.75" customHeight="1" s="15">
      <c r="B909" s="1" t="n"/>
      <c r="E909" s="13" t="n"/>
    </row>
    <row r="910" ht="15.75" customHeight="1" s="15">
      <c r="B910" s="1" t="n"/>
      <c r="E910" s="13" t="n"/>
    </row>
    <row r="911" ht="15.75" customHeight="1" s="15">
      <c r="B911" s="1" t="n"/>
      <c r="E911" s="13" t="n"/>
    </row>
    <row r="912" ht="15.75" customHeight="1" s="15">
      <c r="B912" s="1" t="n"/>
      <c r="E912" s="13" t="n"/>
    </row>
    <row r="913" ht="15.75" customHeight="1" s="15">
      <c r="B913" s="1" t="n"/>
      <c r="E913" s="13" t="n"/>
    </row>
    <row r="914" ht="15.75" customHeight="1" s="15">
      <c r="B914" s="1" t="n"/>
      <c r="E914" s="13" t="n"/>
    </row>
    <row r="915" ht="15.75" customHeight="1" s="15">
      <c r="B915" s="1" t="n"/>
      <c r="E915" s="13" t="n"/>
    </row>
    <row r="916" ht="15.75" customHeight="1" s="15">
      <c r="B916" s="1" t="n"/>
      <c r="E916" s="13" t="n"/>
    </row>
    <row r="917" ht="15.75" customHeight="1" s="15">
      <c r="B917" s="1" t="n"/>
      <c r="E917" s="13" t="n"/>
    </row>
    <row r="918" ht="15.75" customHeight="1" s="15">
      <c r="B918" s="1" t="n"/>
      <c r="E918" s="13" t="n"/>
    </row>
    <row r="919" ht="15.75" customHeight="1" s="15">
      <c r="B919" s="1" t="n"/>
      <c r="E919" s="13" t="n"/>
    </row>
    <row r="920" ht="15.75" customHeight="1" s="15">
      <c r="B920" s="1" t="n"/>
      <c r="E920" s="13" t="n"/>
    </row>
    <row r="921" ht="15.75" customHeight="1" s="15">
      <c r="B921" s="1" t="n"/>
      <c r="E921" s="13" t="n"/>
    </row>
    <row r="922" ht="15.75" customHeight="1" s="15">
      <c r="B922" s="1" t="n"/>
      <c r="E922" s="13" t="n"/>
    </row>
    <row r="923" ht="15.75" customHeight="1" s="15">
      <c r="B923" s="1" t="n"/>
      <c r="E923" s="13" t="n"/>
    </row>
    <row r="924" ht="15.75" customHeight="1" s="15">
      <c r="B924" s="1" t="n"/>
      <c r="E924" s="13" t="n"/>
    </row>
    <row r="925" ht="15.75" customHeight="1" s="15">
      <c r="B925" s="1" t="n"/>
      <c r="E925" s="13" t="n"/>
    </row>
    <row r="926" ht="15.75" customHeight="1" s="15">
      <c r="B926" s="1" t="n"/>
      <c r="E926" s="13" t="n"/>
    </row>
    <row r="927" ht="15.75" customHeight="1" s="15">
      <c r="B927" s="1" t="n"/>
      <c r="E927" s="13" t="n"/>
    </row>
    <row r="928" ht="15.75" customHeight="1" s="15">
      <c r="B928" s="1" t="n"/>
      <c r="E928" s="13" t="n"/>
    </row>
    <row r="929" ht="15.75" customHeight="1" s="15">
      <c r="B929" s="1" t="n"/>
      <c r="E929" s="13" t="n"/>
    </row>
    <row r="930" ht="15.75" customHeight="1" s="15">
      <c r="B930" s="1" t="n"/>
      <c r="E930" s="13" t="n"/>
    </row>
    <row r="931" ht="15.75" customHeight="1" s="15">
      <c r="B931" s="1" t="n"/>
      <c r="E931" s="13" t="n"/>
    </row>
    <row r="932" ht="15.75" customHeight="1" s="15">
      <c r="B932" s="1" t="n"/>
      <c r="E932" s="13" t="n"/>
    </row>
    <row r="933" ht="15.75" customHeight="1" s="15">
      <c r="B933" s="1" t="n"/>
      <c r="E933" s="13" t="n"/>
    </row>
    <row r="934" ht="15.75" customHeight="1" s="15">
      <c r="B934" s="1" t="n"/>
      <c r="E934" s="13" t="n"/>
    </row>
    <row r="935" ht="15.75" customHeight="1" s="15">
      <c r="B935" s="1" t="n"/>
      <c r="E935" s="13" t="n"/>
    </row>
    <row r="936" ht="15.75" customHeight="1" s="15">
      <c r="B936" s="1" t="n"/>
      <c r="E936" s="13" t="n"/>
    </row>
    <row r="937" ht="15.75" customHeight="1" s="15">
      <c r="B937" s="1" t="n"/>
      <c r="E937" s="13" t="n"/>
    </row>
    <row r="938" ht="15.75" customHeight="1" s="15">
      <c r="B938" s="1" t="n"/>
      <c r="E938" s="13" t="n"/>
    </row>
    <row r="939" ht="15.75" customHeight="1" s="15">
      <c r="B939" s="1" t="n"/>
      <c r="E939" s="13" t="n"/>
    </row>
    <row r="940" ht="15.75" customHeight="1" s="15">
      <c r="B940" s="1" t="n"/>
      <c r="E940" s="13" t="n"/>
    </row>
    <row r="941" ht="15.75" customHeight="1" s="15">
      <c r="B941" s="1" t="n"/>
      <c r="E941" s="13" t="n"/>
    </row>
    <row r="942" ht="15.75" customHeight="1" s="15">
      <c r="B942" s="1" t="n"/>
      <c r="E942" s="13" t="n"/>
    </row>
    <row r="943" ht="15.75" customHeight="1" s="15">
      <c r="B943" s="1" t="n"/>
      <c r="E943" s="13" t="n"/>
    </row>
    <row r="944" ht="15.75" customHeight="1" s="15">
      <c r="B944" s="1" t="n"/>
      <c r="E944" s="13" t="n"/>
    </row>
    <row r="945" ht="15.75" customHeight="1" s="15">
      <c r="B945" s="1" t="n"/>
      <c r="E945" s="13" t="n"/>
    </row>
    <row r="946" ht="15.75" customHeight="1" s="15">
      <c r="B946" s="1" t="n"/>
      <c r="E946" s="13" t="n"/>
    </row>
    <row r="947" ht="15.75" customHeight="1" s="15">
      <c r="B947" s="1" t="n"/>
      <c r="E947" s="13" t="n"/>
    </row>
    <row r="948" ht="15.75" customHeight="1" s="15">
      <c r="B948" s="1" t="n"/>
      <c r="E948" s="13" t="n"/>
    </row>
    <row r="949" ht="15.75" customHeight="1" s="15">
      <c r="B949" s="1" t="n"/>
      <c r="E949" s="13" t="n"/>
    </row>
    <row r="950" ht="15.75" customHeight="1" s="15">
      <c r="B950" s="1" t="n"/>
      <c r="E950" s="13" t="n"/>
    </row>
    <row r="951" ht="15.75" customHeight="1" s="15">
      <c r="B951" s="1" t="n"/>
      <c r="E951" s="13" t="n"/>
    </row>
    <row r="952" ht="15.75" customHeight="1" s="15">
      <c r="B952" s="1" t="n"/>
      <c r="E952" s="13" t="n"/>
    </row>
    <row r="953" ht="15.75" customHeight="1" s="15">
      <c r="B953" s="1" t="n"/>
      <c r="E953" s="13" t="n"/>
    </row>
    <row r="954" ht="15.75" customHeight="1" s="15">
      <c r="B954" s="1" t="n"/>
      <c r="E954" s="13" t="n"/>
    </row>
    <row r="955" ht="15.75" customHeight="1" s="15">
      <c r="B955" s="1" t="n"/>
      <c r="E955" s="13" t="n"/>
    </row>
    <row r="956" ht="15.75" customHeight="1" s="15">
      <c r="B956" s="1" t="n"/>
      <c r="E956" s="13" t="n"/>
    </row>
    <row r="957" ht="15.75" customHeight="1" s="15">
      <c r="B957" s="1" t="n"/>
      <c r="E957" s="13" t="n"/>
    </row>
    <row r="958" ht="15.75" customHeight="1" s="15">
      <c r="B958" s="1" t="n"/>
      <c r="E958" s="13" t="n"/>
    </row>
    <row r="959" ht="15.75" customHeight="1" s="15">
      <c r="B959" s="1" t="n"/>
      <c r="E959" s="13" t="n"/>
    </row>
    <row r="960" ht="15.75" customHeight="1" s="15">
      <c r="B960" s="1" t="n"/>
      <c r="E960" s="13" t="n"/>
    </row>
    <row r="961" ht="15.75" customHeight="1" s="15">
      <c r="B961" s="1" t="n"/>
      <c r="E961" s="13" t="n"/>
    </row>
    <row r="962" ht="15.75" customHeight="1" s="15">
      <c r="B962" s="1" t="n"/>
      <c r="E962" s="13" t="n"/>
    </row>
    <row r="963" ht="15.75" customHeight="1" s="15">
      <c r="B963" s="1" t="n"/>
      <c r="E963" s="13" t="n"/>
    </row>
    <row r="964" ht="15.75" customHeight="1" s="15">
      <c r="B964" s="1" t="n"/>
      <c r="E964" s="13" t="n"/>
    </row>
    <row r="965" ht="15.75" customHeight="1" s="15">
      <c r="B965" s="1" t="n"/>
      <c r="E965" s="13" t="n"/>
    </row>
    <row r="966" ht="15.75" customHeight="1" s="15">
      <c r="B966" s="1" t="n"/>
      <c r="E966" s="13" t="n"/>
    </row>
    <row r="967" ht="15.75" customHeight="1" s="15">
      <c r="B967" s="1" t="n"/>
      <c r="E967" s="13" t="n"/>
    </row>
    <row r="968" ht="15.75" customHeight="1" s="15">
      <c r="B968" s="1" t="n"/>
      <c r="E968" s="13" t="n"/>
    </row>
    <row r="969" ht="15.75" customHeight="1" s="15">
      <c r="B969" s="1" t="n"/>
      <c r="E969" s="13" t="n"/>
    </row>
    <row r="970" ht="15.75" customHeight="1" s="15">
      <c r="B970" s="1" t="n"/>
      <c r="E970" s="13" t="n"/>
    </row>
    <row r="971" ht="15.75" customHeight="1" s="15">
      <c r="B971" s="1" t="n"/>
      <c r="E971" s="13" t="n"/>
    </row>
    <row r="972" ht="15.75" customHeight="1" s="15">
      <c r="B972" s="1" t="n"/>
      <c r="E972" s="13" t="n"/>
    </row>
    <row r="973" ht="15.75" customHeight="1" s="15">
      <c r="B973" s="1" t="n"/>
      <c r="E973" s="13" t="n"/>
    </row>
    <row r="974" ht="15.75" customHeight="1" s="15">
      <c r="B974" s="1" t="n"/>
      <c r="E974" s="13" t="n"/>
    </row>
    <row r="975" ht="15.75" customHeight="1" s="15">
      <c r="B975" s="1" t="n"/>
      <c r="E975" s="13" t="n"/>
    </row>
    <row r="976" ht="15.75" customHeight="1" s="15">
      <c r="B976" s="1" t="n"/>
      <c r="E976" s="13" t="n"/>
    </row>
    <row r="977" ht="15.75" customHeight="1" s="15">
      <c r="B977" s="1" t="n"/>
      <c r="E977" s="13" t="n"/>
    </row>
    <row r="978" ht="15.75" customHeight="1" s="15">
      <c r="B978" s="1" t="n"/>
      <c r="E978" s="13" t="n"/>
    </row>
    <row r="979" ht="15.75" customHeight="1" s="15">
      <c r="B979" s="1" t="n"/>
      <c r="E979" s="13" t="n"/>
    </row>
    <row r="980" ht="15.75" customHeight="1" s="15">
      <c r="B980" s="1" t="n"/>
      <c r="E980" s="13" t="n"/>
    </row>
    <row r="981" ht="15.75" customHeight="1" s="15">
      <c r="B981" s="1" t="n"/>
      <c r="E981" s="13" t="n"/>
    </row>
    <row r="982" ht="15.75" customHeight="1" s="15">
      <c r="B982" s="1" t="n"/>
      <c r="E982" s="13" t="n"/>
    </row>
    <row r="983" ht="15.75" customHeight="1" s="15">
      <c r="B983" s="1" t="n"/>
      <c r="E983" s="13" t="n"/>
    </row>
    <row r="984" ht="15.75" customHeight="1" s="15">
      <c r="B984" s="1" t="n"/>
      <c r="E984" s="13" t="n"/>
    </row>
    <row r="985" ht="15.75" customHeight="1" s="15">
      <c r="B985" s="1" t="n"/>
      <c r="E985" s="13" t="n"/>
    </row>
    <row r="986" ht="15.75" customHeight="1" s="15">
      <c r="B986" s="1" t="n"/>
      <c r="E986" s="13" t="n"/>
    </row>
    <row r="987" ht="15.75" customHeight="1" s="15">
      <c r="B987" s="1" t="n"/>
      <c r="E987" s="13" t="n"/>
    </row>
    <row r="988" ht="15.75" customHeight="1" s="15">
      <c r="B988" s="1" t="n"/>
      <c r="E988" s="13" t="n"/>
    </row>
    <row r="989" ht="15.75" customHeight="1" s="15">
      <c r="B989" s="1" t="n"/>
      <c r="E989" s="13" t="n"/>
    </row>
    <row r="990" ht="15.75" customHeight="1" s="15">
      <c r="B990" s="1" t="n"/>
      <c r="E990" s="13" t="n"/>
    </row>
    <row r="991" ht="15.75" customHeight="1" s="15">
      <c r="B991" s="1" t="n"/>
      <c r="E991" s="13" t="n"/>
    </row>
    <row r="992" ht="15.75" customHeight="1" s="15">
      <c r="B992" s="1" t="n"/>
      <c r="E992" s="13" t="n"/>
    </row>
    <row r="993" ht="15.75" customHeight="1" s="15">
      <c r="B993" s="1" t="n"/>
      <c r="E993" s="13" t="n"/>
    </row>
    <row r="994" ht="15.75" customHeight="1" s="15">
      <c r="B994" s="1" t="n"/>
      <c r="E994" s="13" t="n"/>
    </row>
    <row r="995" ht="15.75" customHeight="1" s="15">
      <c r="B995" s="1" t="n"/>
      <c r="E995" s="13" t="n"/>
    </row>
    <row r="996" ht="15.75" customHeight="1" s="15">
      <c r="B996" s="1" t="n"/>
      <c r="E996" s="13" t="n"/>
    </row>
    <row r="997" ht="15.75" customHeight="1" s="15">
      <c r="B997" s="1" t="n"/>
      <c r="E997" s="13" t="n"/>
    </row>
    <row r="998" ht="15.75" customHeight="1" s="15">
      <c r="B998" s="1" t="n"/>
      <c r="E998" s="13" t="n"/>
    </row>
    <row r="999" ht="15.75" customHeight="1" s="15">
      <c r="B999" s="1" t="n"/>
      <c r="E999" s="13" t="n"/>
    </row>
    <row r="1000" ht="15.75" customHeight="1" s="15">
      <c r="B1000" s="1" t="n"/>
      <c r="E1000" s="13" t="n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2025-11-06T11:25:44Z</dcterms:created>
  <dcterms:modified xsi:type="dcterms:W3CDTF">2026-02-02T14:10:06Z</dcterms:modified>
  <cp:lastModifiedBy>Tester Academy1</cp:lastModifiedBy>
</cp:coreProperties>
</file>